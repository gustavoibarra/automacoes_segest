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ÇÃO" sheetId="1" state="visible" r:id="rId3"/>
    <sheet name="Auxiliar" sheetId="2" state="visible" r:id="rId4"/>
  </sheets>
  <definedNames>
    <definedName function="false" hidden="true" localSheetId="0" name="_xlnm._FilterDatabase" vbProcedure="false">CLASSIFICAÇÃO!$A$1:$B$61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Valor obtido por correspondencia (INDEX/MATCH) com a aba 'Auxiliar', que extrai o numero da vara e o nome do municipio de cada tabela (os padroes de nome sao diferentes nas duas planilhas) e cruza pela chave NUMERO|CIDADE. Ver aba Auxiliar para o detalhe do calculo. Fonte: lotacao_magistrados.xlsx.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Colunas auxiliares usadas para casar os nomes de unidade da aba CLASSIFICACAO (padrao 'Na VARA DO TRABALHO DE CIDADE') com os nomes da planilha de lotacao de magistrados (padrao 'Cidade - 0Na Vara'). A chave de cruzamento e NUMERO|CIDADE (maiusculas).</t>
        </r>
      </text>
    </comment>
  </commentList>
</comments>
</file>

<file path=xl/sharedStrings.xml><?xml version="1.0" encoding="utf-8"?>
<sst xmlns="http://schemas.openxmlformats.org/spreadsheetml/2006/main" count="192" uniqueCount="135">
  <si>
    <t xml:space="preserve">Unidade</t>
  </si>
  <si>
    <t xml:space="preserve">Classificação</t>
  </si>
  <si>
    <t xml:space="preserve">Quantidade de Magistrados</t>
  </si>
  <si>
    <t xml:space="preserve">1ª VARA DO TRABALHO DE BALNEÁRIO CAMBORIÚ</t>
  </si>
  <si>
    <t xml:space="preserve">NEUTRA</t>
  </si>
  <si>
    <t xml:space="preserve">1ª VARA DO TRABALHO DE BLUMENAU</t>
  </si>
  <si>
    <t xml:space="preserve">DESTINATARIA</t>
  </si>
  <si>
    <t xml:space="preserve">1ª VARA DO TRABALHO DE BRUSQUE</t>
  </si>
  <si>
    <t xml:space="preserve">1ª VARA DO TRABALHO DE CHAPECÓ</t>
  </si>
  <si>
    <t xml:space="preserve">CEDENTE</t>
  </si>
  <si>
    <t xml:space="preserve">1ª VARA DO TRABALHO DE CRICIÚMA</t>
  </si>
  <si>
    <t xml:space="preserve">1ª VARA DO TRABALHO DE FLORIANÓPOLIS</t>
  </si>
  <si>
    <t xml:space="preserve">1ª VARA DO TRABALHO DE ITAJAÍ</t>
  </si>
  <si>
    <t xml:space="preserve">1ª VARA DO TRABALHO DE JARAGUÁ DO SUL</t>
  </si>
  <si>
    <t xml:space="preserve">1ª VARA DO TRABALHO DE JOINVILLE</t>
  </si>
  <si>
    <t xml:space="preserve">1ª VARA DO TRABALHO DE LAGES</t>
  </si>
  <si>
    <t xml:space="preserve">1ª VARA DO TRABALHO DE RIO DO SUL</t>
  </si>
  <si>
    <t xml:space="preserve">1ª VARA DO TRABALHO DE TUBARÃO</t>
  </si>
  <si>
    <t xml:space="preserve">1ª VARA DO TRABALHO SÃO JOSÉ</t>
  </si>
  <si>
    <t xml:space="preserve">2ª VARA DO TRABALHO DE BALNEÁRIO CAMBORIÚ</t>
  </si>
  <si>
    <t xml:space="preserve">2ª VARA DO TRABALHO DE BLUMENAU</t>
  </si>
  <si>
    <t xml:space="preserve">2ª VARA DO TRABALHO DE BRUSQUE</t>
  </si>
  <si>
    <t xml:space="preserve">2ª VARA DO TRABALHO DE CHAPECÓ</t>
  </si>
  <si>
    <t xml:space="preserve">2ª VARA DO TRABALHO DE CRICIÚMA</t>
  </si>
  <si>
    <t xml:space="preserve">2ª VARA DO TRABALHO DE FLORIANÓPOLIS</t>
  </si>
  <si>
    <t xml:space="preserve">2ª VARA DO TRABALHO DE ITAJAÍ</t>
  </si>
  <si>
    <t xml:space="preserve">2ª VARA DO TRABALHO DE JARAGUÁ DO SUL</t>
  </si>
  <si>
    <t xml:space="preserve">2ª VARA DO TRABALHO DE JOINVILLE</t>
  </si>
  <si>
    <t xml:space="preserve">2ª VARA DO TRABALHO DE LAGES</t>
  </si>
  <si>
    <t xml:space="preserve">2ª VARA DO TRABALHO DE RIO DO SUL</t>
  </si>
  <si>
    <t xml:space="preserve">2ª VARA DO TRABALHO DE TUBARÃO</t>
  </si>
  <si>
    <t xml:space="preserve">2ª VARA DO TRABALHO SÃO JOSÉ</t>
  </si>
  <si>
    <t xml:space="preserve">3ª VARA DO TRABALHO DE BLUMENAU</t>
  </si>
  <si>
    <t xml:space="preserve">3ª VARA DO TRABALHO DE CHAPECÓ</t>
  </si>
  <si>
    <t xml:space="preserve">3ª VARA DO TRABALHO DE CRICIÚMA</t>
  </si>
  <si>
    <t xml:space="preserve">3ª VARA DO TRABALHO DE FLORIANÓPOLIS</t>
  </si>
  <si>
    <t xml:space="preserve">3ª VARA DO TRABALHO DE ITAJAÍ</t>
  </si>
  <si>
    <t xml:space="preserve">3ª VARA DO TRABALHO DE JOINVILLE</t>
  </si>
  <si>
    <t xml:space="preserve">3ª VARA DO TRABALHO DE LAGES</t>
  </si>
  <si>
    <t xml:space="preserve">3ª VARA DO TRABALHO SÃO JOSÉ</t>
  </si>
  <si>
    <t xml:space="preserve">4ª VARA DO TRABALHO DE BLUMENAU</t>
  </si>
  <si>
    <t xml:space="preserve">4ª VARA DO TRABALHO DE CHAPECÓ</t>
  </si>
  <si>
    <t xml:space="preserve">4ª VARA DO TRABALHO DE FLORIANÓPOLIS</t>
  </si>
  <si>
    <t xml:space="preserve">4ª VARA DO TRABALHO DE JOINVILLE</t>
  </si>
  <si>
    <t xml:space="preserve">5ª VARA DO TRABALHO DE FLORIANÓPOLIS</t>
  </si>
  <si>
    <t xml:space="preserve">5ª VARA DO TRABALHO DE JOINVILLE</t>
  </si>
  <si>
    <t xml:space="preserve">6ª VARA DO TRABALHO DE FLORIANÓPOLIS</t>
  </si>
  <si>
    <t xml:space="preserve">7ª VARA DO TRABALHO DE FLORIANÓPOLIS</t>
  </si>
  <si>
    <t xml:space="preserve">VARA DO TRABALHO DE ARARANGUÁ</t>
  </si>
  <si>
    <t xml:space="preserve">VARA DO TRABALHO DE CAÇADOR</t>
  </si>
  <si>
    <t xml:space="preserve">VARA DO TRABALHO DE CANOINHAS</t>
  </si>
  <si>
    <t xml:space="preserve">VARA DO TRABALHO DE CONCÓRDIA</t>
  </si>
  <si>
    <t xml:space="preserve">VARA DO TRABALHO DE CURITIBANOS</t>
  </si>
  <si>
    <t xml:space="preserve">VARA DO TRABALHO DE FRAIBURGO</t>
  </si>
  <si>
    <t xml:space="preserve">VARA DO TRABALHO DE IMBITUBA</t>
  </si>
  <si>
    <t xml:space="preserve">VARA DO TRABALHO DE INDAIAL</t>
  </si>
  <si>
    <t xml:space="preserve">VARA DO TRABALHO DE ITAPEMA</t>
  </si>
  <si>
    <t xml:space="preserve">VARA DO TRABALHO DE JOAÇABA</t>
  </si>
  <si>
    <t xml:space="preserve">VARA DO TRABALHO DE MAFRA</t>
  </si>
  <si>
    <t xml:space="preserve">VARA DO TRABALHO DE NAVEGANTES</t>
  </si>
  <si>
    <t xml:space="preserve">VARA DO TRABALHO DE PALHOÇA</t>
  </si>
  <si>
    <t xml:space="preserve">VARA DO TRABALHO DE SÃO BENTO DO SUL</t>
  </si>
  <si>
    <t xml:space="preserve">VARA DO TRABALHO DE SÃO MIGUEL DO OESTE</t>
  </si>
  <si>
    <t xml:space="preserve">VARA DO TRABALHO DE TIMBÓ</t>
  </si>
  <si>
    <t xml:space="preserve">VARA DO TRABALHO DE VIDEIRA</t>
  </si>
  <si>
    <t xml:space="preserve">VARA DO TRABALHO DE XANXERÊ</t>
  </si>
  <si>
    <t xml:space="preserve">Unidade (Classificação)</t>
  </si>
  <si>
    <t xml:space="preserve">Número extraído</t>
  </si>
  <si>
    <t xml:space="preserve">Cidade extraída</t>
  </si>
  <si>
    <t xml:space="preserve">Chave</t>
  </si>
  <si>
    <t xml:space="preserve">Vara do Trabalho (Lotação)</t>
  </si>
  <si>
    <t xml:space="preserve">Qtde magistrados</t>
  </si>
  <si>
    <t xml:space="preserve">Cidade extraída (Lotação)</t>
  </si>
  <si>
    <t xml:space="preserve">Número extraído (Lotação)</t>
  </si>
  <si>
    <t xml:space="preserve">Chave (Lotação)</t>
  </si>
  <si>
    <t xml:space="preserve">Araranguá - 01a Vara</t>
  </si>
  <si>
    <t xml:space="preserve">Balneário Camboriú - 01a Vara</t>
  </si>
  <si>
    <t xml:space="preserve">Balneário Camboriú - 02a Vara</t>
  </si>
  <si>
    <t xml:space="preserve">Blumenau - 01a Vara</t>
  </si>
  <si>
    <t xml:space="preserve">Blumenau - 02a Vara</t>
  </si>
  <si>
    <t xml:space="preserve">Blumenau - 03a Vara</t>
  </si>
  <si>
    <t xml:space="preserve">Blumenau - 04a Vara</t>
  </si>
  <si>
    <t xml:space="preserve">Brusque - 01a Vara</t>
  </si>
  <si>
    <t xml:space="preserve">Brusque - 02a Vara</t>
  </si>
  <si>
    <t xml:space="preserve">Caçador - 01a Vara</t>
  </si>
  <si>
    <t xml:space="preserve">Canoinhas - 01a Vara</t>
  </si>
  <si>
    <t xml:space="preserve">Chapecó - 01a Vara</t>
  </si>
  <si>
    <t xml:space="preserve">Chapecó - 02a Vara</t>
  </si>
  <si>
    <t xml:space="preserve">Chapecó - 03a Vara</t>
  </si>
  <si>
    <t xml:space="preserve">Chapecó - 04a Vara</t>
  </si>
  <si>
    <t xml:space="preserve">Concórdia - 01a Vara</t>
  </si>
  <si>
    <t xml:space="preserve">Criciúma - 01a Vara</t>
  </si>
  <si>
    <t xml:space="preserve">Criciúma - 02a Vara</t>
  </si>
  <si>
    <t xml:space="preserve">Criciúma - 03a Vara</t>
  </si>
  <si>
    <t xml:space="preserve">Curitibanos - 01a Vara</t>
  </si>
  <si>
    <t xml:space="preserve">Florianópolis - 01a Vara</t>
  </si>
  <si>
    <t xml:space="preserve">Florianópolis - 02a Vara</t>
  </si>
  <si>
    <t xml:space="preserve">Florianópolis - 03a Vara</t>
  </si>
  <si>
    <t xml:space="preserve">Florianópolis - 04a Vara</t>
  </si>
  <si>
    <t xml:space="preserve">Florianópolis - 05a Vara</t>
  </si>
  <si>
    <t xml:space="preserve">Florianópolis - 06a Vara</t>
  </si>
  <si>
    <t xml:space="preserve">Florianópolis - 07a Vara</t>
  </si>
  <si>
    <t xml:space="preserve">Fraiburgo - 01a Vara</t>
  </si>
  <si>
    <t xml:space="preserve">Imbituba - 01a Vara</t>
  </si>
  <si>
    <t xml:space="preserve">Indaial - 01a Vara</t>
  </si>
  <si>
    <t xml:space="preserve">Itajaí - 01a Vara</t>
  </si>
  <si>
    <t xml:space="preserve">Itajaí - 02a Vara</t>
  </si>
  <si>
    <t xml:space="preserve">Itajaí - 03a Vara</t>
  </si>
  <si>
    <t xml:space="preserve">Itapema - 01a Vara</t>
  </si>
  <si>
    <t xml:space="preserve">Jaraguá do Sul - 01a Vara</t>
  </si>
  <si>
    <t xml:space="preserve">Jaraguá do Sul - 02a Vara</t>
  </si>
  <si>
    <t xml:space="preserve">Joaçaba - 01a Vara</t>
  </si>
  <si>
    <t xml:space="preserve">Joinville - 01a Vara</t>
  </si>
  <si>
    <t xml:space="preserve">Joinville - 02a Vara</t>
  </si>
  <si>
    <t xml:space="preserve">Joinville - 03a Vara</t>
  </si>
  <si>
    <t xml:space="preserve">Joinville - 04a Vara</t>
  </si>
  <si>
    <t xml:space="preserve">Joinville - 05a Vara</t>
  </si>
  <si>
    <t xml:space="preserve">Lages - 01a Vara</t>
  </si>
  <si>
    <t xml:space="preserve">Lages - 02a Vara</t>
  </si>
  <si>
    <t xml:space="preserve">Lages - 03a Vara</t>
  </si>
  <si>
    <t xml:space="preserve">Mafra - 01a Vara</t>
  </si>
  <si>
    <t xml:space="preserve">Navegantes - 01a Vara</t>
  </si>
  <si>
    <t xml:space="preserve">Palhoça - 01a Vara</t>
  </si>
  <si>
    <t xml:space="preserve">Rio do Sul - 01a Vara</t>
  </si>
  <si>
    <t xml:space="preserve">Rio do Sul - 02a Vara</t>
  </si>
  <si>
    <t xml:space="preserve">São Bento do Sul - 01a Vara</t>
  </si>
  <si>
    <t xml:space="preserve">São José - 01a Vara</t>
  </si>
  <si>
    <t xml:space="preserve">São José - 02a Vara</t>
  </si>
  <si>
    <t xml:space="preserve">São José - 03a Vara</t>
  </si>
  <si>
    <t xml:space="preserve">São Miguel do Oeste - 01a Vara</t>
  </si>
  <si>
    <t xml:space="preserve">Timbó - 01a Vara</t>
  </si>
  <si>
    <t xml:space="preserve">Tubarão - 01a Vara</t>
  </si>
  <si>
    <t xml:space="preserve">Tubarão - 02a Vara</t>
  </si>
  <si>
    <t xml:space="preserve">Videira - 01a Vara</t>
  </si>
  <si>
    <t xml:space="preserve">Xanxerê - 01a Vara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</si>
</sst>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1" activeCellId="0" sqref="D5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.85"/>
    <col collapsed="false" customWidth="true" hidden="false" outlineLevel="0" max="2" min="2" style="0" width="14.42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1" t="s">
        <v>4</v>
      </c>
      <c r="C2" s="4" t="n">
        <f aca="false">IFERROR(INDEX(Auxiliar!$G$2:$G$61,MATCH(Auxiliar!D2,Auxiliar!$J$2:$J$61,0)),"NAO ENCONTRADO")</f>
        <v>2</v>
      </c>
    </row>
    <row r="3" customFormat="false" ht="15" hidden="false" customHeight="false" outlineLevel="0" collapsed="false">
      <c r="A3" s="3" t="s">
        <v>5</v>
      </c>
      <c r="B3" s="1" t="s">
        <v>6</v>
      </c>
      <c r="C3" s="4" t="n">
        <f aca="false">IFERROR(INDEX(Auxiliar!$G$2:$G$61,MATCH(Auxiliar!D3,Auxiliar!$J$2:$J$61,0)),"NAO ENCONTRADO")</f>
        <v>2</v>
      </c>
    </row>
    <row r="4" customFormat="false" ht="15" hidden="false" customHeight="false" outlineLevel="0" collapsed="false">
      <c r="A4" s="3" t="s">
        <v>7</v>
      </c>
      <c r="B4" s="1" t="s">
        <v>6</v>
      </c>
      <c r="C4" s="4" t="n">
        <f aca="false">IFERROR(INDEX(Auxiliar!$G$2:$G$61,MATCH(Auxiliar!D4,Auxiliar!$J$2:$J$61,0)),"NAO ENCONTRADO")</f>
        <v>2</v>
      </c>
    </row>
    <row r="5" customFormat="false" ht="15" hidden="false" customHeight="false" outlineLevel="0" collapsed="false">
      <c r="A5" s="3" t="s">
        <v>8</v>
      </c>
      <c r="B5" s="1" t="s">
        <v>9</v>
      </c>
      <c r="C5" s="4" t="n">
        <f aca="false">IFERROR(INDEX(Auxiliar!$G$2:$G$61,MATCH(Auxiliar!D5,Auxiliar!$J$2:$J$61,0)),"NAO ENCONTRADO")</f>
        <v>1</v>
      </c>
    </row>
    <row r="6" customFormat="false" ht="15" hidden="false" customHeight="false" outlineLevel="0" collapsed="false">
      <c r="A6" s="3" t="s">
        <v>10</v>
      </c>
      <c r="B6" s="1" t="s">
        <v>4</v>
      </c>
      <c r="C6" s="4" t="n">
        <f aca="false">IFERROR(INDEX(Auxiliar!$G$2:$G$61,MATCH(Auxiliar!D6,Auxiliar!$J$2:$J$61,0)),"NAO ENCONTRADO")</f>
        <v>2</v>
      </c>
    </row>
    <row r="7" customFormat="false" ht="15" hidden="false" customHeight="false" outlineLevel="0" collapsed="false">
      <c r="A7" s="3" t="s">
        <v>11</v>
      </c>
      <c r="B7" s="1" t="s">
        <v>4</v>
      </c>
      <c r="C7" s="4" t="n">
        <f aca="false">IFERROR(INDEX(Auxiliar!$G$2:$G$61,MATCH(Auxiliar!D7,Auxiliar!$J$2:$J$61,0)),"NAO ENCONTRADO")</f>
        <v>1</v>
      </c>
    </row>
    <row r="8" customFormat="false" ht="15" hidden="false" customHeight="false" outlineLevel="0" collapsed="false">
      <c r="A8" s="3" t="s">
        <v>12</v>
      </c>
      <c r="B8" s="1" t="s">
        <v>4</v>
      </c>
      <c r="C8" s="4" t="n">
        <f aca="false">IFERROR(INDEX(Auxiliar!$G$2:$G$61,MATCH(Auxiliar!D8,Auxiliar!$J$2:$J$61,0)),"NAO ENCONTRADO")</f>
        <v>2</v>
      </c>
    </row>
    <row r="9" customFormat="false" ht="15" hidden="false" customHeight="false" outlineLevel="0" collapsed="false">
      <c r="A9" s="3" t="s">
        <v>13</v>
      </c>
      <c r="B9" s="1" t="s">
        <v>4</v>
      </c>
      <c r="C9" s="4" t="n">
        <f aca="false">IFERROR(INDEX(Auxiliar!$G$2:$G$61,MATCH(Auxiliar!D9,Auxiliar!$J$2:$J$61,0)),"NAO ENCONTRADO")</f>
        <v>2</v>
      </c>
    </row>
    <row r="10" customFormat="false" ht="15" hidden="false" customHeight="false" outlineLevel="0" collapsed="false">
      <c r="A10" s="3" t="s">
        <v>14</v>
      </c>
      <c r="B10" s="1" t="s">
        <v>9</v>
      </c>
      <c r="C10" s="4" t="n">
        <f aca="false">IFERROR(INDEX(Auxiliar!$G$2:$G$61,MATCH(Auxiliar!D10,Auxiliar!$J$2:$J$61,0)),"NAO ENCONTRADO")</f>
        <v>2</v>
      </c>
    </row>
    <row r="11" customFormat="false" ht="15" hidden="false" customHeight="false" outlineLevel="0" collapsed="false">
      <c r="A11" s="3" t="s">
        <v>15</v>
      </c>
      <c r="B11" s="1" t="s">
        <v>6</v>
      </c>
      <c r="C11" s="4" t="n">
        <f aca="false">IFERROR(INDEX(Auxiliar!$G$2:$G$61,MATCH(Auxiliar!D11,Auxiliar!$J$2:$J$61,0)),"NAO ENCONTRADO")</f>
        <v>1</v>
      </c>
    </row>
    <row r="12" customFormat="false" ht="15" hidden="false" customHeight="false" outlineLevel="0" collapsed="false">
      <c r="A12" s="3" t="s">
        <v>16</v>
      </c>
      <c r="B12" s="1" t="s">
        <v>4</v>
      </c>
      <c r="C12" s="4" t="n">
        <f aca="false">IFERROR(INDEX(Auxiliar!$G$2:$G$61,MATCH(Auxiliar!D12,Auxiliar!$J$2:$J$61,0)),"NAO ENCONTRADO")</f>
        <v>2</v>
      </c>
    </row>
    <row r="13" customFormat="false" ht="15" hidden="false" customHeight="false" outlineLevel="0" collapsed="false">
      <c r="A13" s="3" t="s">
        <v>17</v>
      </c>
      <c r="B13" s="1" t="s">
        <v>6</v>
      </c>
      <c r="C13" s="4" t="n">
        <f aca="false">IFERROR(INDEX(Auxiliar!$G$2:$G$61,MATCH(Auxiliar!D13,Auxiliar!$J$2:$J$61,0)),"NAO ENCONTRADO")</f>
        <v>2</v>
      </c>
    </row>
    <row r="14" customFormat="false" ht="15" hidden="false" customHeight="false" outlineLevel="0" collapsed="false">
      <c r="A14" s="3" t="s">
        <v>18</v>
      </c>
      <c r="B14" s="1" t="s">
        <v>4</v>
      </c>
      <c r="C14" s="4" t="n">
        <f aca="false">IFERROR(INDEX(Auxiliar!$G$2:$G$61,MATCH(Auxiliar!D14,Auxiliar!$J$2:$J$61,0)),"NAO ENCONTRADO")</f>
        <v>2</v>
      </c>
    </row>
    <row r="15" customFormat="false" ht="15" hidden="false" customHeight="false" outlineLevel="0" collapsed="false">
      <c r="A15" s="3" t="s">
        <v>19</v>
      </c>
      <c r="B15" s="1" t="s">
        <v>4</v>
      </c>
      <c r="C15" s="4" t="n">
        <f aca="false">IFERROR(INDEX(Auxiliar!$G$2:$G$61,MATCH(Auxiliar!D15,Auxiliar!$J$2:$J$61,0)),"NAO ENCONTRADO")</f>
        <v>2</v>
      </c>
    </row>
    <row r="16" customFormat="false" ht="15" hidden="false" customHeight="false" outlineLevel="0" collapsed="false">
      <c r="A16" s="3" t="s">
        <v>20</v>
      </c>
      <c r="B16" s="1" t="s">
        <v>6</v>
      </c>
      <c r="C16" s="4" t="n">
        <f aca="false">IFERROR(INDEX(Auxiliar!$G$2:$G$61,MATCH(Auxiliar!D16,Auxiliar!$J$2:$J$61,0)),"NAO ENCONTRADO")</f>
        <v>2</v>
      </c>
    </row>
    <row r="17" customFormat="false" ht="15" hidden="false" customHeight="false" outlineLevel="0" collapsed="false">
      <c r="A17" s="3" t="s">
        <v>21</v>
      </c>
      <c r="B17" s="1" t="s">
        <v>6</v>
      </c>
      <c r="C17" s="4" t="n">
        <f aca="false">IFERROR(INDEX(Auxiliar!$G$2:$G$61,MATCH(Auxiliar!D17,Auxiliar!$J$2:$J$61,0)),"NAO ENCONTRADO")</f>
        <v>1</v>
      </c>
    </row>
    <row r="18" customFormat="false" ht="15" hidden="false" customHeight="false" outlineLevel="0" collapsed="false">
      <c r="A18" s="3" t="s">
        <v>22</v>
      </c>
      <c r="B18" s="1" t="s">
        <v>9</v>
      </c>
      <c r="C18" s="4" t="n">
        <f aca="false">IFERROR(INDEX(Auxiliar!$G$2:$G$61,MATCH(Auxiliar!D18,Auxiliar!$J$2:$J$61,0)),"NAO ENCONTRADO")</f>
        <v>1</v>
      </c>
    </row>
    <row r="19" customFormat="false" ht="15" hidden="false" customHeight="false" outlineLevel="0" collapsed="false">
      <c r="A19" s="3" t="s">
        <v>23</v>
      </c>
      <c r="B19" s="1" t="s">
        <v>4</v>
      </c>
      <c r="C19" s="4" t="n">
        <f aca="false">IFERROR(INDEX(Auxiliar!$G$2:$G$61,MATCH(Auxiliar!D19,Auxiliar!$J$2:$J$61,0)),"NAO ENCONTRADO")</f>
        <v>2</v>
      </c>
    </row>
    <row r="20" customFormat="false" ht="15" hidden="false" customHeight="false" outlineLevel="0" collapsed="false">
      <c r="A20" s="3" t="s">
        <v>24</v>
      </c>
      <c r="B20" s="1" t="s">
        <v>4</v>
      </c>
      <c r="C20" s="4" t="n">
        <f aca="false">IFERROR(INDEX(Auxiliar!$G$2:$G$61,MATCH(Auxiliar!D20,Auxiliar!$J$2:$J$61,0)),"NAO ENCONTRADO")</f>
        <v>2</v>
      </c>
    </row>
    <row r="21" customFormat="false" ht="15" hidden="false" customHeight="false" outlineLevel="0" collapsed="false">
      <c r="A21" s="3" t="s">
        <v>25</v>
      </c>
      <c r="B21" s="1" t="s">
        <v>4</v>
      </c>
      <c r="C21" s="4" t="n">
        <f aca="false">IFERROR(INDEX(Auxiliar!$G$2:$G$61,MATCH(Auxiliar!D21,Auxiliar!$J$2:$J$61,0)),"NAO ENCONTRADO")</f>
        <v>2</v>
      </c>
    </row>
    <row r="22" customFormat="false" ht="15" hidden="false" customHeight="false" outlineLevel="0" collapsed="false">
      <c r="A22" s="3" t="s">
        <v>26</v>
      </c>
      <c r="B22" s="1" t="s">
        <v>4</v>
      </c>
      <c r="C22" s="4" t="n">
        <f aca="false">IFERROR(INDEX(Auxiliar!$G$2:$G$61,MATCH(Auxiliar!D22,Auxiliar!$J$2:$J$61,0)),"NAO ENCONTRADO")</f>
        <v>2</v>
      </c>
    </row>
    <row r="23" customFormat="false" ht="15" hidden="false" customHeight="false" outlineLevel="0" collapsed="false">
      <c r="A23" s="3" t="s">
        <v>27</v>
      </c>
      <c r="B23" s="1" t="s">
        <v>9</v>
      </c>
      <c r="C23" s="4" t="n">
        <f aca="false">IFERROR(INDEX(Auxiliar!$G$2:$G$61,MATCH(Auxiliar!D23,Auxiliar!$J$2:$J$61,0)),"NAO ENCONTRADO")</f>
        <v>2</v>
      </c>
    </row>
    <row r="24" customFormat="false" ht="15" hidden="false" customHeight="false" outlineLevel="0" collapsed="false">
      <c r="A24" s="3" t="s">
        <v>28</v>
      </c>
      <c r="B24" s="1" t="s">
        <v>6</v>
      </c>
      <c r="C24" s="4" t="n">
        <f aca="false">IFERROR(INDEX(Auxiliar!$G$2:$G$61,MATCH(Auxiliar!D24,Auxiliar!$J$2:$J$61,0)),"NAO ENCONTRADO")</f>
        <v>2</v>
      </c>
    </row>
    <row r="25" customFormat="false" ht="15" hidden="false" customHeight="false" outlineLevel="0" collapsed="false">
      <c r="A25" s="3" t="s">
        <v>29</v>
      </c>
      <c r="B25" s="1" t="s">
        <v>4</v>
      </c>
      <c r="C25" s="4" t="n">
        <f aca="false">IFERROR(INDEX(Auxiliar!$G$2:$G$61,MATCH(Auxiliar!D25,Auxiliar!$J$2:$J$61,0)),"NAO ENCONTRADO")</f>
        <v>2</v>
      </c>
    </row>
    <row r="26" customFormat="false" ht="15" hidden="false" customHeight="false" outlineLevel="0" collapsed="false">
      <c r="A26" s="3" t="s">
        <v>30</v>
      </c>
      <c r="B26" s="1" t="s">
        <v>6</v>
      </c>
      <c r="C26" s="4" t="n">
        <f aca="false">IFERROR(INDEX(Auxiliar!$G$2:$G$61,MATCH(Auxiliar!D26,Auxiliar!$J$2:$J$61,0)),"NAO ENCONTRADO")</f>
        <v>2</v>
      </c>
    </row>
    <row r="27" customFormat="false" ht="15" hidden="false" customHeight="false" outlineLevel="0" collapsed="false">
      <c r="A27" s="3" t="s">
        <v>31</v>
      </c>
      <c r="B27" s="1" t="s">
        <v>4</v>
      </c>
      <c r="C27" s="4" t="n">
        <f aca="false">IFERROR(INDEX(Auxiliar!$G$2:$G$61,MATCH(Auxiliar!D27,Auxiliar!$J$2:$J$61,0)),"NAO ENCONTRADO")</f>
        <v>2</v>
      </c>
    </row>
    <row r="28" customFormat="false" ht="15" hidden="false" customHeight="false" outlineLevel="0" collapsed="false">
      <c r="A28" s="3" t="s">
        <v>32</v>
      </c>
      <c r="B28" s="1" t="s">
        <v>6</v>
      </c>
      <c r="C28" s="4" t="n">
        <f aca="false">IFERROR(INDEX(Auxiliar!$G$2:$G$61,MATCH(Auxiliar!D28,Auxiliar!$J$2:$J$61,0)),"NAO ENCONTRADO")</f>
        <v>2</v>
      </c>
    </row>
    <row r="29" customFormat="false" ht="15" hidden="false" customHeight="false" outlineLevel="0" collapsed="false">
      <c r="A29" s="3" t="s">
        <v>33</v>
      </c>
      <c r="B29" s="1" t="s">
        <v>9</v>
      </c>
      <c r="C29" s="4" t="n">
        <f aca="false">IFERROR(INDEX(Auxiliar!$G$2:$G$61,MATCH(Auxiliar!D29,Auxiliar!$J$2:$J$61,0)),"NAO ENCONTRADO")</f>
        <v>1</v>
      </c>
    </row>
    <row r="30" customFormat="false" ht="15" hidden="false" customHeight="false" outlineLevel="0" collapsed="false">
      <c r="A30" s="3" t="s">
        <v>34</v>
      </c>
      <c r="B30" s="1" t="s">
        <v>4</v>
      </c>
      <c r="C30" s="4" t="n">
        <f aca="false">IFERROR(INDEX(Auxiliar!$G$2:$G$61,MATCH(Auxiliar!D30,Auxiliar!$J$2:$J$61,0)),"NAO ENCONTRADO")</f>
        <v>2</v>
      </c>
    </row>
    <row r="31" customFormat="false" ht="15" hidden="false" customHeight="false" outlineLevel="0" collapsed="false">
      <c r="A31" s="3" t="s">
        <v>35</v>
      </c>
      <c r="B31" s="1" t="s">
        <v>4</v>
      </c>
      <c r="C31" s="4" t="n">
        <f aca="false">IFERROR(INDEX(Auxiliar!$G$2:$G$61,MATCH(Auxiliar!D31,Auxiliar!$J$2:$J$61,0)),"NAO ENCONTRADO")</f>
        <v>1</v>
      </c>
    </row>
    <row r="32" customFormat="false" ht="15" hidden="false" customHeight="false" outlineLevel="0" collapsed="false">
      <c r="A32" s="3" t="s">
        <v>36</v>
      </c>
      <c r="B32" s="1" t="s">
        <v>4</v>
      </c>
      <c r="C32" s="4" t="n">
        <f aca="false">IFERROR(INDEX(Auxiliar!$G$2:$G$61,MATCH(Auxiliar!D32,Auxiliar!$J$2:$J$61,0)),"NAO ENCONTRADO")</f>
        <v>2</v>
      </c>
    </row>
    <row r="33" customFormat="false" ht="15" hidden="false" customHeight="false" outlineLevel="0" collapsed="false">
      <c r="A33" s="3" t="s">
        <v>37</v>
      </c>
      <c r="B33" s="1" t="s">
        <v>9</v>
      </c>
      <c r="C33" s="4" t="n">
        <f aca="false">IFERROR(INDEX(Auxiliar!$G$2:$G$61,MATCH(Auxiliar!D33,Auxiliar!$J$2:$J$61,0)),"NAO ENCONTRADO")</f>
        <v>2</v>
      </c>
    </row>
    <row r="34" customFormat="false" ht="15" hidden="false" customHeight="false" outlineLevel="0" collapsed="false">
      <c r="A34" s="3" t="s">
        <v>38</v>
      </c>
      <c r="B34" s="1" t="s">
        <v>6</v>
      </c>
      <c r="C34" s="4" t="n">
        <f aca="false">IFERROR(INDEX(Auxiliar!$G$2:$G$61,MATCH(Auxiliar!D34,Auxiliar!$J$2:$J$61,0)),"NAO ENCONTRADO")</f>
        <v>2</v>
      </c>
    </row>
    <row r="35" customFormat="false" ht="15" hidden="false" customHeight="false" outlineLevel="0" collapsed="false">
      <c r="A35" s="3" t="s">
        <v>39</v>
      </c>
      <c r="B35" s="1" t="s">
        <v>4</v>
      </c>
      <c r="C35" s="4" t="n">
        <f aca="false">IFERROR(INDEX(Auxiliar!$G$2:$G$61,MATCH(Auxiliar!D35,Auxiliar!$J$2:$J$61,0)),"NAO ENCONTRADO")</f>
        <v>2</v>
      </c>
    </row>
    <row r="36" customFormat="false" ht="15" hidden="false" customHeight="false" outlineLevel="0" collapsed="false">
      <c r="A36" s="3" t="s">
        <v>40</v>
      </c>
      <c r="B36" s="1" t="s">
        <v>6</v>
      </c>
      <c r="C36" s="4" t="n">
        <f aca="false">IFERROR(INDEX(Auxiliar!$G$2:$G$61,MATCH(Auxiliar!D36,Auxiliar!$J$2:$J$61,0)),"NAO ENCONTRADO")</f>
        <v>2</v>
      </c>
    </row>
    <row r="37" customFormat="false" ht="15" hidden="false" customHeight="false" outlineLevel="0" collapsed="false">
      <c r="A37" s="3" t="s">
        <v>41</v>
      </c>
      <c r="B37" s="1" t="s">
        <v>9</v>
      </c>
      <c r="C37" s="4" t="n">
        <f aca="false">IFERROR(INDEX(Auxiliar!$G$2:$G$61,MATCH(Auxiliar!D37,Auxiliar!$J$2:$J$61,0)),"NAO ENCONTRADO")</f>
        <v>1</v>
      </c>
    </row>
    <row r="38" customFormat="false" ht="15" hidden="false" customHeight="false" outlineLevel="0" collapsed="false">
      <c r="A38" s="3" t="s">
        <v>42</v>
      </c>
      <c r="B38" s="1" t="s">
        <v>4</v>
      </c>
      <c r="C38" s="4" t="n">
        <f aca="false">IFERROR(INDEX(Auxiliar!$G$2:$G$61,MATCH(Auxiliar!D38,Auxiliar!$J$2:$J$61,0)),"NAO ENCONTRADO")</f>
        <v>1</v>
      </c>
    </row>
    <row r="39" customFormat="false" ht="15" hidden="false" customHeight="false" outlineLevel="0" collapsed="false">
      <c r="A39" s="3" t="s">
        <v>43</v>
      </c>
      <c r="B39" s="1" t="s">
        <v>9</v>
      </c>
      <c r="C39" s="4" t="n">
        <f aca="false">IFERROR(INDEX(Auxiliar!$G$2:$G$61,MATCH(Auxiliar!D39,Auxiliar!$J$2:$J$61,0)),"NAO ENCONTRADO")</f>
        <v>2</v>
      </c>
    </row>
    <row r="40" customFormat="false" ht="15" hidden="false" customHeight="false" outlineLevel="0" collapsed="false">
      <c r="A40" s="3" t="s">
        <v>44</v>
      </c>
      <c r="B40" s="1" t="s">
        <v>4</v>
      </c>
      <c r="C40" s="4" t="n">
        <f aca="false">IFERROR(INDEX(Auxiliar!$G$2:$G$61,MATCH(Auxiliar!D40,Auxiliar!$J$2:$J$61,0)),"NAO ENCONTRADO")</f>
        <v>2</v>
      </c>
    </row>
    <row r="41" customFormat="false" ht="15" hidden="false" customHeight="false" outlineLevel="0" collapsed="false">
      <c r="A41" s="3" t="s">
        <v>45</v>
      </c>
      <c r="B41" s="1" t="s">
        <v>9</v>
      </c>
      <c r="C41" s="4" t="n">
        <f aca="false">IFERROR(INDEX(Auxiliar!$G$2:$G$61,MATCH(Auxiliar!D41,Auxiliar!$J$2:$J$61,0)),"NAO ENCONTRADO")</f>
        <v>2</v>
      </c>
    </row>
    <row r="42" customFormat="false" ht="15" hidden="false" customHeight="false" outlineLevel="0" collapsed="false">
      <c r="A42" s="3" t="s">
        <v>46</v>
      </c>
      <c r="B42" s="1" t="s">
        <v>4</v>
      </c>
      <c r="C42" s="4" t="n">
        <f aca="false">IFERROR(INDEX(Auxiliar!$G$2:$G$61,MATCH(Auxiliar!D42,Auxiliar!$J$2:$J$61,0)),"NAO ENCONTRADO")</f>
        <v>2</v>
      </c>
    </row>
    <row r="43" customFormat="false" ht="15" hidden="false" customHeight="false" outlineLevel="0" collapsed="false">
      <c r="A43" s="3" t="s">
        <v>47</v>
      </c>
      <c r="B43" s="1" t="s">
        <v>4</v>
      </c>
      <c r="C43" s="4" t="n">
        <f aca="false">IFERROR(INDEX(Auxiliar!$G$2:$G$61,MATCH(Auxiliar!D43,Auxiliar!$J$2:$J$61,0)),"NAO ENCONTRADO")</f>
        <v>1</v>
      </c>
    </row>
    <row r="44" customFormat="false" ht="15" hidden="false" customHeight="false" outlineLevel="0" collapsed="false">
      <c r="A44" s="3" t="s">
        <v>48</v>
      </c>
      <c r="B44" s="1" t="s">
        <v>6</v>
      </c>
      <c r="C44" s="4" t="n">
        <f aca="false">IFERROR(INDEX(Auxiliar!$G$2:$G$61,MATCH(Auxiliar!D44,Auxiliar!$J$2:$J$61,0)),"NAO ENCONTRADO")</f>
        <v>2</v>
      </c>
    </row>
    <row r="45" customFormat="false" ht="15" hidden="false" customHeight="false" outlineLevel="0" collapsed="false">
      <c r="A45" s="3" t="s">
        <v>49</v>
      </c>
      <c r="B45" s="1" t="s">
        <v>4</v>
      </c>
      <c r="C45" s="4" t="n">
        <f aca="false">IFERROR(INDEX(Auxiliar!$G$2:$G$61,MATCH(Auxiliar!D45,Auxiliar!$J$2:$J$61,0)),"NAO ENCONTRADO")</f>
        <v>1</v>
      </c>
    </row>
    <row r="46" customFormat="false" ht="15" hidden="false" customHeight="false" outlineLevel="0" collapsed="false">
      <c r="A46" s="3" t="s">
        <v>50</v>
      </c>
      <c r="B46" s="1" t="s">
        <v>6</v>
      </c>
      <c r="C46" s="4" t="n">
        <f aca="false">IFERROR(INDEX(Auxiliar!$G$2:$G$61,MATCH(Auxiliar!D46,Auxiliar!$J$2:$J$61,0)),"NAO ENCONTRADO")</f>
        <v>2</v>
      </c>
    </row>
    <row r="47" customFormat="false" ht="15" hidden="false" customHeight="false" outlineLevel="0" collapsed="false">
      <c r="A47" s="3" t="s">
        <v>51</v>
      </c>
      <c r="B47" s="1" t="s">
        <v>9</v>
      </c>
      <c r="C47" s="4" t="n">
        <f aca="false">IFERROR(INDEX(Auxiliar!$G$2:$G$61,MATCH(Auxiliar!D47,Auxiliar!$J$2:$J$61,0)),"NAO ENCONTRADO")</f>
        <v>2</v>
      </c>
    </row>
    <row r="48" customFormat="false" ht="15" hidden="false" customHeight="false" outlineLevel="0" collapsed="false">
      <c r="A48" s="3" t="s">
        <v>52</v>
      </c>
      <c r="B48" s="1" t="s">
        <v>6</v>
      </c>
      <c r="C48" s="4" t="n">
        <f aca="false">IFERROR(INDEX(Auxiliar!$G$2:$G$61,MATCH(Auxiliar!D48,Auxiliar!$J$2:$J$61,0)),"NAO ENCONTRADO")</f>
        <v>1</v>
      </c>
    </row>
    <row r="49" customFormat="false" ht="15" hidden="false" customHeight="false" outlineLevel="0" collapsed="false">
      <c r="A49" s="3" t="s">
        <v>53</v>
      </c>
      <c r="B49" s="1" t="s">
        <v>6</v>
      </c>
      <c r="C49" s="4" t="n">
        <f aca="false">IFERROR(INDEX(Auxiliar!$G$2:$G$61,MATCH(Auxiliar!D49,Auxiliar!$J$2:$J$61,0)),"NAO ENCONTRADO")</f>
        <v>1</v>
      </c>
    </row>
    <row r="50" customFormat="false" ht="15" hidden="false" customHeight="false" outlineLevel="0" collapsed="false">
      <c r="A50" s="3" t="s">
        <v>54</v>
      </c>
      <c r="B50" s="1" t="s">
        <v>9</v>
      </c>
      <c r="C50" s="4" t="n">
        <f aca="false">IFERROR(INDEX(Auxiliar!$G$2:$G$61,MATCH(Auxiliar!D50,Auxiliar!$J$2:$J$61,0)),"NAO ENCONTRADO")</f>
        <v>1</v>
      </c>
    </row>
    <row r="51" customFormat="false" ht="15" hidden="false" customHeight="false" outlineLevel="0" collapsed="false">
      <c r="A51" s="3" t="s">
        <v>55</v>
      </c>
      <c r="B51" s="1" t="s">
        <v>6</v>
      </c>
      <c r="C51" s="4" t="n">
        <f aca="false">IFERROR(INDEX(Auxiliar!$G$2:$G$61,MATCH(Auxiliar!D51,Auxiliar!$J$2:$J$61,0)),"NAO ENCONTRADO")</f>
        <v>1</v>
      </c>
    </row>
    <row r="52" customFormat="false" ht="15" hidden="false" customHeight="false" outlineLevel="0" collapsed="false">
      <c r="A52" s="3" t="s">
        <v>56</v>
      </c>
      <c r="B52" s="1" t="s">
        <v>9</v>
      </c>
      <c r="C52" s="4" t="n">
        <f aca="false">IFERROR(INDEX(Auxiliar!$G$2:$G$61,MATCH(Auxiliar!D52,Auxiliar!$J$2:$J$61,0)),"NAO ENCONTRADO")</f>
        <v>2</v>
      </c>
    </row>
    <row r="53" customFormat="false" ht="15" hidden="false" customHeight="false" outlineLevel="0" collapsed="false">
      <c r="A53" s="3" t="s">
        <v>57</v>
      </c>
      <c r="B53" s="1" t="s">
        <v>4</v>
      </c>
      <c r="C53" s="4" t="n">
        <f aca="false">IFERROR(INDEX(Auxiliar!$G$2:$G$61,MATCH(Auxiliar!D53,Auxiliar!$J$2:$J$61,0)),"NAO ENCONTRADO")</f>
        <v>2</v>
      </c>
    </row>
    <row r="54" customFormat="false" ht="15" hidden="false" customHeight="false" outlineLevel="0" collapsed="false">
      <c r="A54" s="3" t="s">
        <v>58</v>
      </c>
      <c r="B54" s="1" t="s">
        <v>6</v>
      </c>
      <c r="C54" s="4" t="n">
        <f aca="false">IFERROR(INDEX(Auxiliar!$G$2:$G$61,MATCH(Auxiliar!D54,Auxiliar!$J$2:$J$61,0)),"NAO ENCONTRADO")</f>
        <v>2</v>
      </c>
    </row>
    <row r="55" customFormat="false" ht="15" hidden="false" customHeight="false" outlineLevel="0" collapsed="false">
      <c r="A55" s="3" t="s">
        <v>59</v>
      </c>
      <c r="B55" s="1" t="s">
        <v>9</v>
      </c>
      <c r="C55" s="4" t="n">
        <f aca="false">IFERROR(INDEX(Auxiliar!$G$2:$G$61,MATCH(Auxiliar!D55,Auxiliar!$J$2:$J$61,0)),"NAO ENCONTRADO")</f>
        <v>2</v>
      </c>
    </row>
    <row r="56" customFormat="false" ht="15" hidden="false" customHeight="false" outlineLevel="0" collapsed="false">
      <c r="A56" s="3" t="s">
        <v>60</v>
      </c>
      <c r="B56" s="1" t="s">
        <v>9</v>
      </c>
      <c r="C56" s="4" t="n">
        <f aca="false">IFERROR(INDEX(Auxiliar!$G$2:$G$61,MATCH(Auxiliar!D56,Auxiliar!$J$2:$J$61,0)),"NAO ENCONTRADO")</f>
        <v>2</v>
      </c>
    </row>
    <row r="57" customFormat="false" ht="15" hidden="false" customHeight="false" outlineLevel="0" collapsed="false">
      <c r="A57" s="3" t="s">
        <v>61</v>
      </c>
      <c r="B57" s="1" t="s">
        <v>6</v>
      </c>
      <c r="C57" s="4" t="n">
        <f aca="false">IFERROR(INDEX(Auxiliar!$G$2:$G$61,MATCH(Auxiliar!D57,Auxiliar!$J$2:$J$61,0)),"NAO ENCONTRADO")</f>
        <v>2</v>
      </c>
    </row>
    <row r="58" customFormat="false" ht="15" hidden="false" customHeight="false" outlineLevel="0" collapsed="false">
      <c r="A58" s="3" t="s">
        <v>62</v>
      </c>
      <c r="B58" s="1" t="s">
        <v>9</v>
      </c>
      <c r="C58" s="4" t="n">
        <f aca="false">IFERROR(INDEX(Auxiliar!$G$2:$G$61,MATCH(Auxiliar!D58,Auxiliar!$J$2:$J$61,0)),"NAO ENCONTRADO")</f>
        <v>1</v>
      </c>
    </row>
    <row r="59" customFormat="false" ht="15" hidden="false" customHeight="false" outlineLevel="0" collapsed="false">
      <c r="A59" s="3" t="s">
        <v>63</v>
      </c>
      <c r="B59" s="1" t="s">
        <v>4</v>
      </c>
      <c r="C59" s="4" t="n">
        <f aca="false">IFERROR(INDEX(Auxiliar!$G$2:$G$61,MATCH(Auxiliar!D59,Auxiliar!$J$2:$J$61,0)),"NAO ENCONTRADO")</f>
        <v>1</v>
      </c>
    </row>
    <row r="60" customFormat="false" ht="15" hidden="false" customHeight="false" outlineLevel="0" collapsed="false">
      <c r="A60" s="3" t="s">
        <v>64</v>
      </c>
      <c r="B60" s="1" t="s">
        <v>4</v>
      </c>
      <c r="C60" s="4" t="n">
        <f aca="false">IFERROR(INDEX(Auxiliar!$G$2:$G$61,MATCH(Auxiliar!D60,Auxiliar!$J$2:$J$61,0)),"NAO ENCONTRADO")</f>
        <v>1</v>
      </c>
    </row>
    <row r="61" customFormat="false" ht="15" hidden="false" customHeight="false" outlineLevel="0" collapsed="false">
      <c r="A61" s="3" t="s">
        <v>65</v>
      </c>
      <c r="B61" s="1" t="s">
        <v>9</v>
      </c>
      <c r="C61" s="4" t="n">
        <f aca="false">IFERROR(INDEX(Auxiliar!$G$2:$G$61,MATCH(Auxiliar!D61,Auxiliar!$J$2:$J$61,0)),"NAO ENCONTRADO")</f>
        <v>1</v>
      </c>
    </row>
  </sheetData>
  <autoFilter ref="A1:B61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5" t="s">
        <v>66</v>
      </c>
      <c r="B1" s="5" t="s">
        <v>67</v>
      </c>
      <c r="C1" s="5" t="s">
        <v>68</v>
      </c>
      <c r="D1" s="5" t="s">
        <v>69</v>
      </c>
      <c r="E1" s="5"/>
      <c r="F1" s="5" t="s">
        <v>70</v>
      </c>
      <c r="G1" s="5" t="s">
        <v>71</v>
      </c>
      <c r="H1" s="5" t="s">
        <v>72</v>
      </c>
      <c r="I1" s="5" t="s">
        <v>73</v>
      </c>
      <c r="J1" s="5" t="s">
        <v>74</v>
      </c>
    </row>
    <row r="2" customFormat="false" ht="15" hidden="false" customHeight="false" outlineLevel="0" collapsed="false">
      <c r="A2" s="0" t="str">
        <f aca="false">CLASSIFICAÇÃO!A2</f>
        <v>1ª VARA DO TRABALHO DE BALNEÁRIO CAMBORIÚ</v>
      </c>
      <c r="B2" s="0" t="n">
        <f aca="false">IF(ISNUMBER(--LEFT(TRIM(CLASSIFICAÇÃO!A2),1)),VALUE(LEFT(TRIM(CLASSIFICAÇÃO!A2),FIND("ª",TRIM(CLASSIFICAÇÃO!A2))-1)),1)</f>
        <v>1</v>
      </c>
      <c r="C2" s="0" t="str">
        <f aca="false">UPPER(TRIM(IF(LEFT(TRIM(MID(CLASSIFICAÇÃO!A2,FIND("VARA DO TRABALHO",CLASSIFICAÇÃO!A2)+LEN("VARA DO TRABALHO"),999)),3)="DE ",MID(TRIM(MID(CLASSIFICAÇÃO!A2,FIND("VARA DO TRABALHO",CLASSIFICAÇÃO!A2)+LEN("VARA DO TRABALHO"),999)),4,999),TRIM(MID(CLASSIFICAÇÃO!A2,FIND("VARA DO TRABALHO",CLASSIFICAÇÃO!A2)+LEN("VARA DO TRABALHO"),999)))))</f>
        <v>BALNEÁRIO CAMBORIÚ</v>
      </c>
      <c r="D2" s="0" t="str">
        <f aca="false">B2&amp;"|"&amp;C2</f>
        <v>1|BALNEÁRIO CAMBORIÚ</v>
      </c>
      <c r="F2" s="0" t="s">
        <v>75</v>
      </c>
      <c r="G2" s="0" t="n">
        <v>2</v>
      </c>
      <c r="H2" s="0" t="str">
        <f aca="false">UPPER(TRIM(LEFT(F2,FIND("-",F2)-1)))</f>
        <v>ARARANGUÁ</v>
      </c>
      <c r="I2" s="0" t="n">
        <f aca="false">VALUE(TRIM(MID(F2,FIND("-",F2)+1,FIND("a Vara",F2)-FIND("-",F2)-1)))</f>
        <v>1</v>
      </c>
      <c r="J2" s="0" t="str">
        <f aca="false">I2&amp;"|"&amp;H2</f>
        <v>1|ARARANGUÁ</v>
      </c>
    </row>
    <row r="3" customFormat="false" ht="15" hidden="false" customHeight="false" outlineLevel="0" collapsed="false">
      <c r="A3" s="0" t="str">
        <f aca="false">CLASSIFICAÇÃO!A3</f>
        <v>1ª VARA DO TRABALHO DE BLUMENAU</v>
      </c>
      <c r="B3" s="0" t="n">
        <f aca="false">IF(ISNUMBER(--LEFT(TRIM(CLASSIFICAÇÃO!A3),1)),VALUE(LEFT(TRIM(CLASSIFICAÇÃO!A3),FIND("ª",TRIM(CLASSIFICAÇÃO!A3))-1)),1)</f>
        <v>1</v>
      </c>
      <c r="C3" s="0" t="str">
        <f aca="false">UPPER(TRIM(IF(LEFT(TRIM(MID(CLASSIFICAÇÃO!A3,FIND("VARA DO TRABALHO",CLASSIFICAÇÃO!A3)+LEN("VARA DO TRABALHO"),999)),3)="DE ",MID(TRIM(MID(CLASSIFICAÇÃO!A3,FIND("VARA DO TRABALHO",CLASSIFICAÇÃO!A3)+LEN("VARA DO TRABALHO"),999)),4,999),TRIM(MID(CLASSIFICAÇÃO!A3,FIND("VARA DO TRABALHO",CLASSIFICAÇÃO!A3)+LEN("VARA DO TRABALHO"),999)))))</f>
        <v>BLUMENAU</v>
      </c>
      <c r="D3" s="0" t="str">
        <f aca="false">B3&amp;"|"&amp;C3</f>
        <v>1|BLUMENAU</v>
      </c>
      <c r="F3" s="0" t="s">
        <v>76</v>
      </c>
      <c r="G3" s="0" t="n">
        <v>2</v>
      </c>
      <c r="H3" s="0" t="str">
        <f aca="false">UPPER(TRIM(LEFT(F3,FIND("-",F3)-1)))</f>
        <v>BALNEÁRIO CAMBORIÚ</v>
      </c>
      <c r="I3" s="0" t="n">
        <f aca="false">VALUE(TRIM(MID(F3,FIND("-",F3)+1,FIND("a Vara",F3)-FIND("-",F3)-1)))</f>
        <v>1</v>
      </c>
      <c r="J3" s="0" t="str">
        <f aca="false">I3&amp;"|"&amp;H3</f>
        <v>1|BALNEÁRIO CAMBORIÚ</v>
      </c>
    </row>
    <row r="4" customFormat="false" ht="15" hidden="false" customHeight="false" outlineLevel="0" collapsed="false">
      <c r="A4" s="0" t="str">
        <f aca="false">CLASSIFICAÇÃO!A4</f>
        <v>1ª VARA DO TRABALHO DE BRUSQUE</v>
      </c>
      <c r="B4" s="0" t="n">
        <f aca="false">IF(ISNUMBER(--LEFT(TRIM(CLASSIFICAÇÃO!A4),1)),VALUE(LEFT(TRIM(CLASSIFICAÇÃO!A4),FIND("ª",TRIM(CLASSIFICAÇÃO!A4))-1)),1)</f>
        <v>1</v>
      </c>
      <c r="C4" s="0" t="str">
        <f aca="false">UPPER(TRIM(IF(LEFT(TRIM(MID(CLASSIFICAÇÃO!A4,FIND("VARA DO TRABALHO",CLASSIFICAÇÃO!A4)+LEN("VARA DO TRABALHO"),999)),3)="DE ",MID(TRIM(MID(CLASSIFICAÇÃO!A4,FIND("VARA DO TRABALHO",CLASSIFICAÇÃO!A4)+LEN("VARA DO TRABALHO"),999)),4,999),TRIM(MID(CLASSIFICAÇÃO!A4,FIND("VARA DO TRABALHO",CLASSIFICAÇÃO!A4)+LEN("VARA DO TRABALHO"),999)))))</f>
        <v>BRUSQUE</v>
      </c>
      <c r="D4" s="0" t="str">
        <f aca="false">B4&amp;"|"&amp;C4</f>
        <v>1|BRUSQUE</v>
      </c>
      <c r="F4" s="0" t="s">
        <v>77</v>
      </c>
      <c r="G4" s="0" t="n">
        <v>2</v>
      </c>
      <c r="H4" s="0" t="str">
        <f aca="false">UPPER(TRIM(LEFT(F4,FIND("-",F4)-1)))</f>
        <v>BALNEÁRIO CAMBORIÚ</v>
      </c>
      <c r="I4" s="0" t="n">
        <f aca="false">VALUE(TRIM(MID(F4,FIND("-",F4)+1,FIND("a Vara",F4)-FIND("-",F4)-1)))</f>
        <v>2</v>
      </c>
      <c r="J4" s="0" t="str">
        <f aca="false">I4&amp;"|"&amp;H4</f>
        <v>2|BALNEÁRIO CAMBORIÚ</v>
      </c>
    </row>
    <row r="5" customFormat="false" ht="15" hidden="false" customHeight="false" outlineLevel="0" collapsed="false">
      <c r="A5" s="0" t="str">
        <f aca="false">CLASSIFICAÇÃO!A5</f>
        <v>1ª VARA DO TRABALHO DE CHAPECÓ</v>
      </c>
      <c r="B5" s="0" t="n">
        <f aca="false">IF(ISNUMBER(--LEFT(TRIM(CLASSIFICAÇÃO!A5),1)),VALUE(LEFT(TRIM(CLASSIFICAÇÃO!A5),FIND("ª",TRIM(CLASSIFICAÇÃO!A5))-1)),1)</f>
        <v>1</v>
      </c>
      <c r="C5" s="0" t="str">
        <f aca="false">UPPER(TRIM(IF(LEFT(TRIM(MID(CLASSIFICAÇÃO!A5,FIND("VARA DO TRABALHO",CLASSIFICAÇÃO!A5)+LEN("VARA DO TRABALHO"),999)),3)="DE ",MID(TRIM(MID(CLASSIFICAÇÃO!A5,FIND("VARA DO TRABALHO",CLASSIFICAÇÃO!A5)+LEN("VARA DO TRABALHO"),999)),4,999),TRIM(MID(CLASSIFICAÇÃO!A5,FIND("VARA DO TRABALHO",CLASSIFICAÇÃO!A5)+LEN("VARA DO TRABALHO"),999)))))</f>
        <v>CHAPECÓ</v>
      </c>
      <c r="D5" s="0" t="str">
        <f aca="false">B5&amp;"|"&amp;C5</f>
        <v>1|CHAPECÓ</v>
      </c>
      <c r="F5" s="0" t="s">
        <v>78</v>
      </c>
      <c r="G5" s="0" t="n">
        <v>2</v>
      </c>
      <c r="H5" s="0" t="str">
        <f aca="false">UPPER(TRIM(LEFT(F5,FIND("-",F5)-1)))</f>
        <v>BLUMENAU</v>
      </c>
      <c r="I5" s="0" t="n">
        <f aca="false">VALUE(TRIM(MID(F5,FIND("-",F5)+1,FIND("a Vara",F5)-FIND("-",F5)-1)))</f>
        <v>1</v>
      </c>
      <c r="J5" s="0" t="str">
        <f aca="false">I5&amp;"|"&amp;H5</f>
        <v>1|BLUMENAU</v>
      </c>
    </row>
    <row r="6" customFormat="false" ht="15" hidden="false" customHeight="false" outlineLevel="0" collapsed="false">
      <c r="A6" s="0" t="str">
        <f aca="false">CLASSIFICAÇÃO!A6</f>
        <v>1ª VARA DO TRABALHO DE CRICIÚMA</v>
      </c>
      <c r="B6" s="0" t="n">
        <f aca="false">IF(ISNUMBER(--LEFT(TRIM(CLASSIFICAÇÃO!A6),1)),VALUE(LEFT(TRIM(CLASSIFICAÇÃO!A6),FIND("ª",TRIM(CLASSIFICAÇÃO!A6))-1)),1)</f>
        <v>1</v>
      </c>
      <c r="C6" s="0" t="str">
        <f aca="false">UPPER(TRIM(IF(LEFT(TRIM(MID(CLASSIFICAÇÃO!A6,FIND("VARA DO TRABALHO",CLASSIFICAÇÃO!A6)+LEN("VARA DO TRABALHO"),999)),3)="DE ",MID(TRIM(MID(CLASSIFICAÇÃO!A6,FIND("VARA DO TRABALHO",CLASSIFICAÇÃO!A6)+LEN("VARA DO TRABALHO"),999)),4,999),TRIM(MID(CLASSIFICAÇÃO!A6,FIND("VARA DO TRABALHO",CLASSIFICAÇÃO!A6)+LEN("VARA DO TRABALHO"),999)))))</f>
        <v>CRICIÚMA</v>
      </c>
      <c r="D6" s="0" t="str">
        <f aca="false">B6&amp;"|"&amp;C6</f>
        <v>1|CRICIÚMA</v>
      </c>
      <c r="F6" s="0" t="s">
        <v>79</v>
      </c>
      <c r="G6" s="0" t="n">
        <v>2</v>
      </c>
      <c r="H6" s="0" t="str">
        <f aca="false">UPPER(TRIM(LEFT(F6,FIND("-",F6)-1)))</f>
        <v>BLUMENAU</v>
      </c>
      <c r="I6" s="0" t="n">
        <f aca="false">VALUE(TRIM(MID(F6,FIND("-",F6)+1,FIND("a Vara",F6)-FIND("-",F6)-1)))</f>
        <v>2</v>
      </c>
      <c r="J6" s="0" t="str">
        <f aca="false">I6&amp;"|"&amp;H6</f>
        <v>2|BLUMENAU</v>
      </c>
    </row>
    <row r="7" customFormat="false" ht="15" hidden="false" customHeight="false" outlineLevel="0" collapsed="false">
      <c r="A7" s="0" t="str">
        <f aca="false">CLASSIFICAÇÃO!A7</f>
        <v>1ª VARA DO TRABALHO DE FLORIANÓPOLIS</v>
      </c>
      <c r="B7" s="0" t="n">
        <f aca="false">IF(ISNUMBER(--LEFT(TRIM(CLASSIFICAÇÃO!A7),1)),VALUE(LEFT(TRIM(CLASSIFICAÇÃO!A7),FIND("ª",TRIM(CLASSIFICAÇÃO!A7))-1)),1)</f>
        <v>1</v>
      </c>
      <c r="C7" s="0" t="str">
        <f aca="false">UPPER(TRIM(IF(LEFT(TRIM(MID(CLASSIFICAÇÃO!A7,FIND("VARA DO TRABALHO",CLASSIFICAÇÃO!A7)+LEN("VARA DO TRABALHO"),999)),3)="DE ",MID(TRIM(MID(CLASSIFICAÇÃO!A7,FIND("VARA DO TRABALHO",CLASSIFICAÇÃO!A7)+LEN("VARA DO TRABALHO"),999)),4,999),TRIM(MID(CLASSIFICAÇÃO!A7,FIND("VARA DO TRABALHO",CLASSIFICAÇÃO!A7)+LEN("VARA DO TRABALHO"),999)))))</f>
        <v>FLORIANÓPOLIS</v>
      </c>
      <c r="D7" s="0" t="str">
        <f aca="false">B7&amp;"|"&amp;C7</f>
        <v>1|FLORIANÓPOLIS</v>
      </c>
      <c r="F7" s="0" t="s">
        <v>80</v>
      </c>
      <c r="G7" s="0" t="n">
        <v>2</v>
      </c>
      <c r="H7" s="0" t="str">
        <f aca="false">UPPER(TRIM(LEFT(F7,FIND("-",F7)-1)))</f>
        <v>BLUMENAU</v>
      </c>
      <c r="I7" s="0" t="n">
        <f aca="false">VALUE(TRIM(MID(F7,FIND("-",F7)+1,FIND("a Vara",F7)-FIND("-",F7)-1)))</f>
        <v>3</v>
      </c>
      <c r="J7" s="0" t="str">
        <f aca="false">I7&amp;"|"&amp;H7</f>
        <v>3|BLUMENAU</v>
      </c>
    </row>
    <row r="8" customFormat="false" ht="15" hidden="false" customHeight="false" outlineLevel="0" collapsed="false">
      <c r="A8" s="0" t="str">
        <f aca="false">CLASSIFICAÇÃO!A8</f>
        <v>1ª VARA DO TRABALHO DE ITAJAÍ</v>
      </c>
      <c r="B8" s="0" t="n">
        <f aca="false">IF(ISNUMBER(--LEFT(TRIM(CLASSIFICAÇÃO!A8),1)),VALUE(LEFT(TRIM(CLASSIFICAÇÃO!A8),FIND("ª",TRIM(CLASSIFICAÇÃO!A8))-1)),1)</f>
        <v>1</v>
      </c>
      <c r="C8" s="0" t="str">
        <f aca="false">UPPER(TRIM(IF(LEFT(TRIM(MID(CLASSIFICAÇÃO!A8,FIND("VARA DO TRABALHO",CLASSIFICAÇÃO!A8)+LEN("VARA DO TRABALHO"),999)),3)="DE ",MID(TRIM(MID(CLASSIFICAÇÃO!A8,FIND("VARA DO TRABALHO",CLASSIFICAÇÃO!A8)+LEN("VARA DO TRABALHO"),999)),4,999),TRIM(MID(CLASSIFICAÇÃO!A8,FIND("VARA DO TRABALHO",CLASSIFICAÇÃO!A8)+LEN("VARA DO TRABALHO"),999)))))</f>
        <v>ITAJAÍ</v>
      </c>
      <c r="D8" s="0" t="str">
        <f aca="false">B8&amp;"|"&amp;C8</f>
        <v>1|ITAJAÍ</v>
      </c>
      <c r="F8" s="0" t="s">
        <v>81</v>
      </c>
      <c r="G8" s="0" t="n">
        <v>2</v>
      </c>
      <c r="H8" s="0" t="str">
        <f aca="false">UPPER(TRIM(LEFT(F8,FIND("-",F8)-1)))</f>
        <v>BLUMENAU</v>
      </c>
      <c r="I8" s="0" t="n">
        <f aca="false">VALUE(TRIM(MID(F8,FIND("-",F8)+1,FIND("a Vara",F8)-FIND("-",F8)-1)))</f>
        <v>4</v>
      </c>
      <c r="J8" s="0" t="str">
        <f aca="false">I8&amp;"|"&amp;H8</f>
        <v>4|BLUMENAU</v>
      </c>
    </row>
    <row r="9" customFormat="false" ht="15" hidden="false" customHeight="false" outlineLevel="0" collapsed="false">
      <c r="A9" s="0" t="str">
        <f aca="false">CLASSIFICAÇÃO!A9</f>
        <v>1ª VARA DO TRABALHO DE JARAGUÁ DO SUL</v>
      </c>
      <c r="B9" s="0" t="n">
        <f aca="false">IF(ISNUMBER(--LEFT(TRIM(CLASSIFICAÇÃO!A9),1)),VALUE(LEFT(TRIM(CLASSIFICAÇÃO!A9),FIND("ª",TRIM(CLASSIFICAÇÃO!A9))-1)),1)</f>
        <v>1</v>
      </c>
      <c r="C9" s="0" t="str">
        <f aca="false">UPPER(TRIM(IF(LEFT(TRIM(MID(CLASSIFICAÇÃO!A9,FIND("VARA DO TRABALHO",CLASSIFICAÇÃO!A9)+LEN("VARA DO TRABALHO"),999)),3)="DE ",MID(TRIM(MID(CLASSIFICAÇÃO!A9,FIND("VARA DO TRABALHO",CLASSIFICAÇÃO!A9)+LEN("VARA DO TRABALHO"),999)),4,999),TRIM(MID(CLASSIFICAÇÃO!A9,FIND("VARA DO TRABALHO",CLASSIFICAÇÃO!A9)+LEN("VARA DO TRABALHO"),999)))))</f>
        <v>JARAGUÁ DO SUL</v>
      </c>
      <c r="D9" s="0" t="str">
        <f aca="false">B9&amp;"|"&amp;C9</f>
        <v>1|JARAGUÁ DO SUL</v>
      </c>
      <c r="F9" s="0" t="s">
        <v>82</v>
      </c>
      <c r="G9" s="0" t="n">
        <v>2</v>
      </c>
      <c r="H9" s="0" t="str">
        <f aca="false">UPPER(TRIM(LEFT(F9,FIND("-",F9)-1)))</f>
        <v>BRUSQUE</v>
      </c>
      <c r="I9" s="0" t="n">
        <f aca="false">VALUE(TRIM(MID(F9,FIND("-",F9)+1,FIND("a Vara",F9)-FIND("-",F9)-1)))</f>
        <v>1</v>
      </c>
      <c r="J9" s="0" t="str">
        <f aca="false">I9&amp;"|"&amp;H9</f>
        <v>1|BRUSQUE</v>
      </c>
    </row>
    <row r="10" customFormat="false" ht="15" hidden="false" customHeight="false" outlineLevel="0" collapsed="false">
      <c r="A10" s="0" t="str">
        <f aca="false">CLASSIFICAÇÃO!A10</f>
        <v>1ª VARA DO TRABALHO DE JOINVILLE</v>
      </c>
      <c r="B10" s="0" t="n">
        <f aca="false">IF(ISNUMBER(--LEFT(TRIM(CLASSIFICAÇÃO!A10),1)),VALUE(LEFT(TRIM(CLASSIFICAÇÃO!A10),FIND("ª",TRIM(CLASSIFICAÇÃO!A10))-1)),1)</f>
        <v>1</v>
      </c>
      <c r="C10" s="0" t="str">
        <f aca="false">UPPER(TRIM(IF(LEFT(TRIM(MID(CLASSIFICAÇÃO!A10,FIND("VARA DO TRABALHO",CLASSIFICAÇÃO!A10)+LEN("VARA DO TRABALHO"),999)),3)="DE ",MID(TRIM(MID(CLASSIFICAÇÃO!A10,FIND("VARA DO TRABALHO",CLASSIFICAÇÃO!A10)+LEN("VARA DO TRABALHO"),999)),4,999),TRIM(MID(CLASSIFICAÇÃO!A10,FIND("VARA DO TRABALHO",CLASSIFICAÇÃO!A10)+LEN("VARA DO TRABALHO"),999)))))</f>
        <v>JOINVILLE</v>
      </c>
      <c r="D10" s="0" t="str">
        <f aca="false">B10&amp;"|"&amp;C10</f>
        <v>1|JOINVILLE</v>
      </c>
      <c r="F10" s="0" t="s">
        <v>83</v>
      </c>
      <c r="G10" s="0" t="n">
        <v>1</v>
      </c>
      <c r="H10" s="0" t="str">
        <f aca="false">UPPER(TRIM(LEFT(F10,FIND("-",F10)-1)))</f>
        <v>BRUSQUE</v>
      </c>
      <c r="I10" s="0" t="n">
        <f aca="false">VALUE(TRIM(MID(F10,FIND("-",F10)+1,FIND("a Vara",F10)-FIND("-",F10)-1)))</f>
        <v>2</v>
      </c>
      <c r="J10" s="0" t="str">
        <f aca="false">I10&amp;"|"&amp;H10</f>
        <v>2|BRUSQUE</v>
      </c>
    </row>
    <row r="11" customFormat="false" ht="15" hidden="false" customHeight="false" outlineLevel="0" collapsed="false">
      <c r="A11" s="0" t="str">
        <f aca="false">CLASSIFICAÇÃO!A11</f>
        <v>1ª VARA DO TRABALHO DE LAGES</v>
      </c>
      <c r="B11" s="0" t="n">
        <f aca="false">IF(ISNUMBER(--LEFT(TRIM(CLASSIFICAÇÃO!A11),1)),VALUE(LEFT(TRIM(CLASSIFICAÇÃO!A11),FIND("ª",TRIM(CLASSIFICAÇÃO!A11))-1)),1)</f>
        <v>1</v>
      </c>
      <c r="C11" s="0" t="str">
        <f aca="false">UPPER(TRIM(IF(LEFT(TRIM(MID(CLASSIFICAÇÃO!A11,FIND("VARA DO TRABALHO",CLASSIFICAÇÃO!A11)+LEN("VARA DO TRABALHO"),999)),3)="DE ",MID(TRIM(MID(CLASSIFICAÇÃO!A11,FIND("VARA DO TRABALHO",CLASSIFICAÇÃO!A11)+LEN("VARA DO TRABALHO"),999)),4,999),TRIM(MID(CLASSIFICAÇÃO!A11,FIND("VARA DO TRABALHO",CLASSIFICAÇÃO!A11)+LEN("VARA DO TRABALHO"),999)))))</f>
        <v>LAGES</v>
      </c>
      <c r="D11" s="0" t="str">
        <f aca="false">B11&amp;"|"&amp;C11</f>
        <v>1|LAGES</v>
      </c>
      <c r="F11" s="0" t="s">
        <v>84</v>
      </c>
      <c r="G11" s="0" t="n">
        <v>1</v>
      </c>
      <c r="H11" s="0" t="str">
        <f aca="false">UPPER(TRIM(LEFT(F11,FIND("-",F11)-1)))</f>
        <v>CAÇADOR</v>
      </c>
      <c r="I11" s="0" t="n">
        <f aca="false">VALUE(TRIM(MID(F11,FIND("-",F11)+1,FIND("a Vara",F11)-FIND("-",F11)-1)))</f>
        <v>1</v>
      </c>
      <c r="J11" s="0" t="str">
        <f aca="false">I11&amp;"|"&amp;H11</f>
        <v>1|CAÇADOR</v>
      </c>
    </row>
    <row r="12" customFormat="false" ht="15" hidden="false" customHeight="false" outlineLevel="0" collapsed="false">
      <c r="A12" s="0" t="str">
        <f aca="false">CLASSIFICAÇÃO!A12</f>
        <v>1ª VARA DO TRABALHO DE RIO DO SUL</v>
      </c>
      <c r="B12" s="0" t="n">
        <f aca="false">IF(ISNUMBER(--LEFT(TRIM(CLASSIFICAÇÃO!A12),1)),VALUE(LEFT(TRIM(CLASSIFICAÇÃO!A12),FIND("ª",TRIM(CLASSIFICAÇÃO!A12))-1)),1)</f>
        <v>1</v>
      </c>
      <c r="C12" s="0" t="str">
        <f aca="false">UPPER(TRIM(IF(LEFT(TRIM(MID(CLASSIFICAÇÃO!A12,FIND("VARA DO TRABALHO",CLASSIFICAÇÃO!A12)+LEN("VARA DO TRABALHO"),999)),3)="DE ",MID(TRIM(MID(CLASSIFICAÇÃO!A12,FIND("VARA DO TRABALHO",CLASSIFICAÇÃO!A12)+LEN("VARA DO TRABALHO"),999)),4,999),TRIM(MID(CLASSIFICAÇÃO!A12,FIND("VARA DO TRABALHO",CLASSIFICAÇÃO!A12)+LEN("VARA DO TRABALHO"),999)))))</f>
        <v>RIO DO SUL</v>
      </c>
      <c r="D12" s="0" t="str">
        <f aca="false">B12&amp;"|"&amp;C12</f>
        <v>1|RIO DO SUL</v>
      </c>
      <c r="F12" s="0" t="s">
        <v>85</v>
      </c>
      <c r="G12" s="0" t="n">
        <v>2</v>
      </c>
      <c r="H12" s="0" t="str">
        <f aca="false">UPPER(TRIM(LEFT(F12,FIND("-",F12)-1)))</f>
        <v>CANOINHAS</v>
      </c>
      <c r="I12" s="0" t="n">
        <f aca="false">VALUE(TRIM(MID(F12,FIND("-",F12)+1,FIND("a Vara",F12)-FIND("-",F12)-1)))</f>
        <v>1</v>
      </c>
      <c r="J12" s="0" t="str">
        <f aca="false">I12&amp;"|"&amp;H12</f>
        <v>1|CANOINHAS</v>
      </c>
    </row>
    <row r="13" customFormat="false" ht="15" hidden="false" customHeight="false" outlineLevel="0" collapsed="false">
      <c r="A13" s="0" t="str">
        <f aca="false">CLASSIFICAÇÃO!A13</f>
        <v>1ª VARA DO TRABALHO DE TUBARÃO</v>
      </c>
      <c r="B13" s="0" t="n">
        <f aca="false">IF(ISNUMBER(--LEFT(TRIM(CLASSIFICAÇÃO!A13),1)),VALUE(LEFT(TRIM(CLASSIFICAÇÃO!A13),FIND("ª",TRIM(CLASSIFICAÇÃO!A13))-1)),1)</f>
        <v>1</v>
      </c>
      <c r="C13" s="0" t="str">
        <f aca="false">UPPER(TRIM(IF(LEFT(TRIM(MID(CLASSIFICAÇÃO!A13,FIND("VARA DO TRABALHO",CLASSIFICAÇÃO!A13)+LEN("VARA DO TRABALHO"),999)),3)="DE ",MID(TRIM(MID(CLASSIFICAÇÃO!A13,FIND("VARA DO TRABALHO",CLASSIFICAÇÃO!A13)+LEN("VARA DO TRABALHO"),999)),4,999),TRIM(MID(CLASSIFICAÇÃO!A13,FIND("VARA DO TRABALHO",CLASSIFICAÇÃO!A13)+LEN("VARA DO TRABALHO"),999)))))</f>
        <v>TUBARÃO</v>
      </c>
      <c r="D13" s="0" t="str">
        <f aca="false">B13&amp;"|"&amp;C13</f>
        <v>1|TUBARÃO</v>
      </c>
      <c r="F13" s="0" t="s">
        <v>86</v>
      </c>
      <c r="G13" s="0" t="n">
        <v>1</v>
      </c>
      <c r="H13" s="0" t="str">
        <f aca="false">UPPER(TRIM(LEFT(F13,FIND("-",F13)-1)))</f>
        <v>CHAPECÓ</v>
      </c>
      <c r="I13" s="0" t="n">
        <f aca="false">VALUE(TRIM(MID(F13,FIND("-",F13)+1,FIND("a Vara",F13)-FIND("-",F13)-1)))</f>
        <v>1</v>
      </c>
      <c r="J13" s="0" t="str">
        <f aca="false">I13&amp;"|"&amp;H13</f>
        <v>1|CHAPECÓ</v>
      </c>
    </row>
    <row r="14" customFormat="false" ht="15" hidden="false" customHeight="false" outlineLevel="0" collapsed="false">
      <c r="A14" s="0" t="str">
        <f aca="false">CLASSIFICAÇÃO!A14</f>
        <v>1ª VARA DO TRABALHO SÃO JOSÉ</v>
      </c>
      <c r="B14" s="0" t="n">
        <f aca="false">IF(ISNUMBER(--LEFT(TRIM(CLASSIFICAÇÃO!A14),1)),VALUE(LEFT(TRIM(CLASSIFICAÇÃO!A14),FIND("ª",TRIM(CLASSIFICAÇÃO!A14))-1)),1)</f>
        <v>1</v>
      </c>
      <c r="C14" s="0" t="str">
        <f aca="false">UPPER(TRIM(IF(LEFT(TRIM(MID(CLASSIFICAÇÃO!A14,FIND("VARA DO TRABALHO",CLASSIFICAÇÃO!A14)+LEN("VARA DO TRABALHO"),999)),3)="DE ",MID(TRIM(MID(CLASSIFICAÇÃO!A14,FIND("VARA DO TRABALHO",CLASSIFICAÇÃO!A14)+LEN("VARA DO TRABALHO"),999)),4,999),TRIM(MID(CLASSIFICAÇÃO!A14,FIND("VARA DO TRABALHO",CLASSIFICAÇÃO!A14)+LEN("VARA DO TRABALHO"),999)))))</f>
        <v>SÃO JOSÉ</v>
      </c>
      <c r="D14" s="0" t="str">
        <f aca="false">B14&amp;"|"&amp;C14</f>
        <v>1|SÃO JOSÉ</v>
      </c>
      <c r="F14" s="0" t="s">
        <v>87</v>
      </c>
      <c r="G14" s="0" t="n">
        <v>1</v>
      </c>
      <c r="H14" s="0" t="str">
        <f aca="false">UPPER(TRIM(LEFT(F14,FIND("-",F14)-1)))</f>
        <v>CHAPECÓ</v>
      </c>
      <c r="I14" s="0" t="n">
        <f aca="false">VALUE(TRIM(MID(F14,FIND("-",F14)+1,FIND("a Vara",F14)-FIND("-",F14)-1)))</f>
        <v>2</v>
      </c>
      <c r="J14" s="0" t="str">
        <f aca="false">I14&amp;"|"&amp;H14</f>
        <v>2|CHAPECÓ</v>
      </c>
    </row>
    <row r="15" customFormat="false" ht="15" hidden="false" customHeight="false" outlineLevel="0" collapsed="false">
      <c r="A15" s="0" t="str">
        <f aca="false">CLASSIFICAÇÃO!A15</f>
        <v>2ª VARA DO TRABALHO DE BALNEÁRIO CAMBORIÚ</v>
      </c>
      <c r="B15" s="0" t="n">
        <f aca="false">IF(ISNUMBER(--LEFT(TRIM(CLASSIFICAÇÃO!A15),1)),VALUE(LEFT(TRIM(CLASSIFICAÇÃO!A15),FIND("ª",TRIM(CLASSIFICAÇÃO!A15))-1)),1)</f>
        <v>2</v>
      </c>
      <c r="C15" s="0" t="str">
        <f aca="false">UPPER(TRIM(IF(LEFT(TRIM(MID(CLASSIFICAÇÃO!A15,FIND("VARA DO TRABALHO",CLASSIFICAÇÃO!A15)+LEN("VARA DO TRABALHO"),999)),3)="DE ",MID(TRIM(MID(CLASSIFICAÇÃO!A15,FIND("VARA DO TRABALHO",CLASSIFICAÇÃO!A15)+LEN("VARA DO TRABALHO"),999)),4,999),TRIM(MID(CLASSIFICAÇÃO!A15,FIND("VARA DO TRABALHO",CLASSIFICAÇÃO!A15)+LEN("VARA DO TRABALHO"),999)))))</f>
        <v>BALNEÁRIO CAMBORIÚ</v>
      </c>
      <c r="D15" s="0" t="str">
        <f aca="false">B15&amp;"|"&amp;C15</f>
        <v>2|BALNEÁRIO CAMBORIÚ</v>
      </c>
      <c r="F15" s="0" t="s">
        <v>88</v>
      </c>
      <c r="G15" s="0" t="n">
        <v>1</v>
      </c>
      <c r="H15" s="0" t="str">
        <f aca="false">UPPER(TRIM(LEFT(F15,FIND("-",F15)-1)))</f>
        <v>CHAPECÓ</v>
      </c>
      <c r="I15" s="0" t="n">
        <f aca="false">VALUE(TRIM(MID(F15,FIND("-",F15)+1,FIND("a Vara",F15)-FIND("-",F15)-1)))</f>
        <v>3</v>
      </c>
      <c r="J15" s="0" t="str">
        <f aca="false">I15&amp;"|"&amp;H15</f>
        <v>3|CHAPECÓ</v>
      </c>
    </row>
    <row r="16" customFormat="false" ht="15" hidden="false" customHeight="false" outlineLevel="0" collapsed="false">
      <c r="A16" s="0" t="str">
        <f aca="false">CLASSIFICAÇÃO!A16</f>
        <v>2ª VARA DO TRABALHO DE BLUMENAU</v>
      </c>
      <c r="B16" s="0" t="n">
        <f aca="false">IF(ISNUMBER(--LEFT(TRIM(CLASSIFICAÇÃO!A16),1)),VALUE(LEFT(TRIM(CLASSIFICAÇÃO!A16),FIND("ª",TRIM(CLASSIFICAÇÃO!A16))-1)),1)</f>
        <v>2</v>
      </c>
      <c r="C16" s="0" t="str">
        <f aca="false">UPPER(TRIM(IF(LEFT(TRIM(MID(CLASSIFICAÇÃO!A16,FIND("VARA DO TRABALHO",CLASSIFICAÇÃO!A16)+LEN("VARA DO TRABALHO"),999)),3)="DE ",MID(TRIM(MID(CLASSIFICAÇÃO!A16,FIND("VARA DO TRABALHO",CLASSIFICAÇÃO!A16)+LEN("VARA DO TRABALHO"),999)),4,999),TRIM(MID(CLASSIFICAÇÃO!A16,FIND("VARA DO TRABALHO",CLASSIFICAÇÃO!A16)+LEN("VARA DO TRABALHO"),999)))))</f>
        <v>BLUMENAU</v>
      </c>
      <c r="D16" s="0" t="str">
        <f aca="false">B16&amp;"|"&amp;C16</f>
        <v>2|BLUMENAU</v>
      </c>
      <c r="F16" s="0" t="s">
        <v>89</v>
      </c>
      <c r="G16" s="0" t="n">
        <v>1</v>
      </c>
      <c r="H16" s="0" t="str">
        <f aca="false">UPPER(TRIM(LEFT(F16,FIND("-",F16)-1)))</f>
        <v>CHAPECÓ</v>
      </c>
      <c r="I16" s="0" t="n">
        <f aca="false">VALUE(TRIM(MID(F16,FIND("-",F16)+1,FIND("a Vara",F16)-FIND("-",F16)-1)))</f>
        <v>4</v>
      </c>
      <c r="J16" s="0" t="str">
        <f aca="false">I16&amp;"|"&amp;H16</f>
        <v>4|CHAPECÓ</v>
      </c>
    </row>
    <row r="17" customFormat="false" ht="15" hidden="false" customHeight="false" outlineLevel="0" collapsed="false">
      <c r="A17" s="0" t="str">
        <f aca="false">CLASSIFICAÇÃO!A17</f>
        <v>2ª VARA DO TRABALHO DE BRUSQUE</v>
      </c>
      <c r="B17" s="0" t="n">
        <f aca="false">IF(ISNUMBER(--LEFT(TRIM(CLASSIFICAÇÃO!A17),1)),VALUE(LEFT(TRIM(CLASSIFICAÇÃO!A17),FIND("ª",TRIM(CLASSIFICAÇÃO!A17))-1)),1)</f>
        <v>2</v>
      </c>
      <c r="C17" s="0" t="str">
        <f aca="false">UPPER(TRIM(IF(LEFT(TRIM(MID(CLASSIFICAÇÃO!A17,FIND("VARA DO TRABALHO",CLASSIFICAÇÃO!A17)+LEN("VARA DO TRABALHO"),999)),3)="DE ",MID(TRIM(MID(CLASSIFICAÇÃO!A17,FIND("VARA DO TRABALHO",CLASSIFICAÇÃO!A17)+LEN("VARA DO TRABALHO"),999)),4,999),TRIM(MID(CLASSIFICAÇÃO!A17,FIND("VARA DO TRABALHO",CLASSIFICAÇÃO!A17)+LEN("VARA DO TRABALHO"),999)))))</f>
        <v>BRUSQUE</v>
      </c>
      <c r="D17" s="0" t="str">
        <f aca="false">B17&amp;"|"&amp;C17</f>
        <v>2|BRUSQUE</v>
      </c>
      <c r="F17" s="0" t="s">
        <v>90</v>
      </c>
      <c r="G17" s="0" t="n">
        <v>2</v>
      </c>
      <c r="H17" s="0" t="str">
        <f aca="false">UPPER(TRIM(LEFT(F17,FIND("-",F17)-1)))</f>
        <v>CONCÓRDIA</v>
      </c>
      <c r="I17" s="0" t="n">
        <f aca="false">VALUE(TRIM(MID(F17,FIND("-",F17)+1,FIND("a Vara",F17)-FIND("-",F17)-1)))</f>
        <v>1</v>
      </c>
      <c r="J17" s="0" t="str">
        <f aca="false">I17&amp;"|"&amp;H17</f>
        <v>1|CONCÓRDIA</v>
      </c>
    </row>
    <row r="18" customFormat="false" ht="15" hidden="false" customHeight="false" outlineLevel="0" collapsed="false">
      <c r="A18" s="0" t="str">
        <f aca="false">CLASSIFICAÇÃO!A18</f>
        <v>2ª VARA DO TRABALHO DE CHAPECÓ</v>
      </c>
      <c r="B18" s="0" t="n">
        <f aca="false">IF(ISNUMBER(--LEFT(TRIM(CLASSIFICAÇÃO!A18),1)),VALUE(LEFT(TRIM(CLASSIFICAÇÃO!A18),FIND("ª",TRIM(CLASSIFICAÇÃO!A18))-1)),1)</f>
        <v>2</v>
      </c>
      <c r="C18" s="0" t="str">
        <f aca="false">UPPER(TRIM(IF(LEFT(TRIM(MID(CLASSIFICAÇÃO!A18,FIND("VARA DO TRABALHO",CLASSIFICAÇÃO!A18)+LEN("VARA DO TRABALHO"),999)),3)="DE ",MID(TRIM(MID(CLASSIFICAÇÃO!A18,FIND("VARA DO TRABALHO",CLASSIFICAÇÃO!A18)+LEN("VARA DO TRABALHO"),999)),4,999),TRIM(MID(CLASSIFICAÇÃO!A18,FIND("VARA DO TRABALHO",CLASSIFICAÇÃO!A18)+LEN("VARA DO TRABALHO"),999)))))</f>
        <v>CHAPECÓ</v>
      </c>
      <c r="D18" s="0" t="str">
        <f aca="false">B18&amp;"|"&amp;C18</f>
        <v>2|CHAPECÓ</v>
      </c>
      <c r="F18" s="0" t="s">
        <v>91</v>
      </c>
      <c r="G18" s="0" t="n">
        <v>2</v>
      </c>
      <c r="H18" s="0" t="str">
        <f aca="false">UPPER(TRIM(LEFT(F18,FIND("-",F18)-1)))</f>
        <v>CRICIÚMA</v>
      </c>
      <c r="I18" s="0" t="n">
        <f aca="false">VALUE(TRIM(MID(F18,FIND("-",F18)+1,FIND("a Vara",F18)-FIND("-",F18)-1)))</f>
        <v>1</v>
      </c>
      <c r="J18" s="0" t="str">
        <f aca="false">I18&amp;"|"&amp;H18</f>
        <v>1|CRICIÚMA</v>
      </c>
    </row>
    <row r="19" customFormat="false" ht="15" hidden="false" customHeight="false" outlineLevel="0" collapsed="false">
      <c r="A19" s="0" t="str">
        <f aca="false">CLASSIFICAÇÃO!A19</f>
        <v>2ª VARA DO TRABALHO DE CRICIÚMA</v>
      </c>
      <c r="B19" s="0" t="n">
        <f aca="false">IF(ISNUMBER(--LEFT(TRIM(CLASSIFICAÇÃO!A19),1)),VALUE(LEFT(TRIM(CLASSIFICAÇÃO!A19),FIND("ª",TRIM(CLASSIFICAÇÃO!A19))-1)),1)</f>
        <v>2</v>
      </c>
      <c r="C19" s="0" t="str">
        <f aca="false">UPPER(TRIM(IF(LEFT(TRIM(MID(CLASSIFICAÇÃO!A19,FIND("VARA DO TRABALHO",CLASSIFICAÇÃO!A19)+LEN("VARA DO TRABALHO"),999)),3)="DE ",MID(TRIM(MID(CLASSIFICAÇÃO!A19,FIND("VARA DO TRABALHO",CLASSIFICAÇÃO!A19)+LEN("VARA DO TRABALHO"),999)),4,999),TRIM(MID(CLASSIFICAÇÃO!A19,FIND("VARA DO TRABALHO",CLASSIFICAÇÃO!A19)+LEN("VARA DO TRABALHO"),999)))))</f>
        <v>CRICIÚMA</v>
      </c>
      <c r="D19" s="0" t="str">
        <f aca="false">B19&amp;"|"&amp;C19</f>
        <v>2|CRICIÚMA</v>
      </c>
      <c r="F19" s="0" t="s">
        <v>92</v>
      </c>
      <c r="G19" s="0" t="n">
        <v>2</v>
      </c>
      <c r="H19" s="0" t="str">
        <f aca="false">UPPER(TRIM(LEFT(F19,FIND("-",F19)-1)))</f>
        <v>CRICIÚMA</v>
      </c>
      <c r="I19" s="0" t="n">
        <f aca="false">VALUE(TRIM(MID(F19,FIND("-",F19)+1,FIND("a Vara",F19)-FIND("-",F19)-1)))</f>
        <v>2</v>
      </c>
      <c r="J19" s="0" t="str">
        <f aca="false">I19&amp;"|"&amp;H19</f>
        <v>2|CRICIÚMA</v>
      </c>
    </row>
    <row r="20" customFormat="false" ht="15" hidden="false" customHeight="false" outlineLevel="0" collapsed="false">
      <c r="A20" s="0" t="str">
        <f aca="false">CLASSIFICAÇÃO!A20</f>
        <v>2ª VARA DO TRABALHO DE FLORIANÓPOLIS</v>
      </c>
      <c r="B20" s="0" t="n">
        <f aca="false">IF(ISNUMBER(--LEFT(TRIM(CLASSIFICAÇÃO!A20),1)),VALUE(LEFT(TRIM(CLASSIFICAÇÃO!A20),FIND("ª",TRIM(CLASSIFICAÇÃO!A20))-1)),1)</f>
        <v>2</v>
      </c>
      <c r="C20" s="0" t="str">
        <f aca="false">UPPER(TRIM(IF(LEFT(TRIM(MID(CLASSIFICAÇÃO!A20,FIND("VARA DO TRABALHO",CLASSIFICAÇÃO!A20)+LEN("VARA DO TRABALHO"),999)),3)="DE ",MID(TRIM(MID(CLASSIFICAÇÃO!A20,FIND("VARA DO TRABALHO",CLASSIFICAÇÃO!A20)+LEN("VARA DO TRABALHO"),999)),4,999),TRIM(MID(CLASSIFICAÇÃO!A20,FIND("VARA DO TRABALHO",CLASSIFICAÇÃO!A20)+LEN("VARA DO TRABALHO"),999)))))</f>
        <v>FLORIANÓPOLIS</v>
      </c>
      <c r="D20" s="0" t="str">
        <f aca="false">B20&amp;"|"&amp;C20</f>
        <v>2|FLORIANÓPOLIS</v>
      </c>
      <c r="F20" s="0" t="s">
        <v>93</v>
      </c>
      <c r="G20" s="0" t="n">
        <v>2</v>
      </c>
      <c r="H20" s="0" t="str">
        <f aca="false">UPPER(TRIM(LEFT(F20,FIND("-",F20)-1)))</f>
        <v>CRICIÚMA</v>
      </c>
      <c r="I20" s="0" t="n">
        <f aca="false">VALUE(TRIM(MID(F20,FIND("-",F20)+1,FIND("a Vara",F20)-FIND("-",F20)-1)))</f>
        <v>3</v>
      </c>
      <c r="J20" s="0" t="str">
        <f aca="false">I20&amp;"|"&amp;H20</f>
        <v>3|CRICIÚMA</v>
      </c>
    </row>
    <row r="21" customFormat="false" ht="15" hidden="false" customHeight="false" outlineLevel="0" collapsed="false">
      <c r="A21" s="0" t="str">
        <f aca="false">CLASSIFICAÇÃO!A21</f>
        <v>2ª VARA DO TRABALHO DE ITAJAÍ</v>
      </c>
      <c r="B21" s="0" t="n">
        <f aca="false">IF(ISNUMBER(--LEFT(TRIM(CLASSIFICAÇÃO!A21),1)),VALUE(LEFT(TRIM(CLASSIFICAÇÃO!A21),FIND("ª",TRIM(CLASSIFICAÇÃO!A21))-1)),1)</f>
        <v>2</v>
      </c>
      <c r="C21" s="0" t="str">
        <f aca="false">UPPER(TRIM(IF(LEFT(TRIM(MID(CLASSIFICAÇÃO!A21,FIND("VARA DO TRABALHO",CLASSIFICAÇÃO!A21)+LEN("VARA DO TRABALHO"),999)),3)="DE ",MID(TRIM(MID(CLASSIFICAÇÃO!A21,FIND("VARA DO TRABALHO",CLASSIFICAÇÃO!A21)+LEN("VARA DO TRABALHO"),999)),4,999),TRIM(MID(CLASSIFICAÇÃO!A21,FIND("VARA DO TRABALHO",CLASSIFICAÇÃO!A21)+LEN("VARA DO TRABALHO"),999)))))</f>
        <v>ITAJAÍ</v>
      </c>
      <c r="D21" s="0" t="str">
        <f aca="false">B21&amp;"|"&amp;C21</f>
        <v>2|ITAJAÍ</v>
      </c>
      <c r="F21" s="0" t="s">
        <v>94</v>
      </c>
      <c r="G21" s="0" t="n">
        <v>1</v>
      </c>
      <c r="H21" s="0" t="str">
        <f aca="false">UPPER(TRIM(LEFT(F21,FIND("-",F21)-1)))</f>
        <v>CURITIBANOS</v>
      </c>
      <c r="I21" s="0" t="n">
        <f aca="false">VALUE(TRIM(MID(F21,FIND("-",F21)+1,FIND("a Vara",F21)-FIND("-",F21)-1)))</f>
        <v>1</v>
      </c>
      <c r="J21" s="0" t="str">
        <f aca="false">I21&amp;"|"&amp;H21</f>
        <v>1|CURITIBANOS</v>
      </c>
    </row>
    <row r="22" customFormat="false" ht="15" hidden="false" customHeight="false" outlineLevel="0" collapsed="false">
      <c r="A22" s="0" t="str">
        <f aca="false">CLASSIFICAÇÃO!A22</f>
        <v>2ª VARA DO TRABALHO DE JARAGUÁ DO SUL</v>
      </c>
      <c r="B22" s="0" t="n">
        <f aca="false">IF(ISNUMBER(--LEFT(TRIM(CLASSIFICAÇÃO!A22),1)),VALUE(LEFT(TRIM(CLASSIFICAÇÃO!A22),FIND("ª",TRIM(CLASSIFICAÇÃO!A22))-1)),1)</f>
        <v>2</v>
      </c>
      <c r="C22" s="0" t="str">
        <f aca="false">UPPER(TRIM(IF(LEFT(TRIM(MID(CLASSIFICAÇÃO!A22,FIND("VARA DO TRABALHO",CLASSIFICAÇÃO!A22)+LEN("VARA DO TRABALHO"),999)),3)="DE ",MID(TRIM(MID(CLASSIFICAÇÃO!A22,FIND("VARA DO TRABALHO",CLASSIFICAÇÃO!A22)+LEN("VARA DO TRABALHO"),999)),4,999),TRIM(MID(CLASSIFICAÇÃO!A22,FIND("VARA DO TRABALHO",CLASSIFICAÇÃO!A22)+LEN("VARA DO TRABALHO"),999)))))</f>
        <v>JARAGUÁ DO SUL</v>
      </c>
      <c r="D22" s="0" t="str">
        <f aca="false">B22&amp;"|"&amp;C22</f>
        <v>2|JARAGUÁ DO SUL</v>
      </c>
      <c r="F22" s="0" t="s">
        <v>95</v>
      </c>
      <c r="G22" s="0" t="n">
        <v>1</v>
      </c>
      <c r="H22" s="0" t="str">
        <f aca="false">UPPER(TRIM(LEFT(F22,FIND("-",F22)-1)))</f>
        <v>FLORIANÓPOLIS</v>
      </c>
      <c r="I22" s="0" t="n">
        <f aca="false">VALUE(TRIM(MID(F22,FIND("-",F22)+1,FIND("a Vara",F22)-FIND("-",F22)-1)))</f>
        <v>1</v>
      </c>
      <c r="J22" s="0" t="str">
        <f aca="false">I22&amp;"|"&amp;H22</f>
        <v>1|FLORIANÓPOLIS</v>
      </c>
    </row>
    <row r="23" customFormat="false" ht="15" hidden="false" customHeight="false" outlineLevel="0" collapsed="false">
      <c r="A23" s="0" t="str">
        <f aca="false">CLASSIFICAÇÃO!A23</f>
        <v>2ª VARA DO TRABALHO DE JOINVILLE</v>
      </c>
      <c r="B23" s="0" t="n">
        <f aca="false">IF(ISNUMBER(--LEFT(TRIM(CLASSIFICAÇÃO!A23),1)),VALUE(LEFT(TRIM(CLASSIFICAÇÃO!A23),FIND("ª",TRIM(CLASSIFICAÇÃO!A23))-1)),1)</f>
        <v>2</v>
      </c>
      <c r="C23" s="0" t="str">
        <f aca="false">UPPER(TRIM(IF(LEFT(TRIM(MID(CLASSIFICAÇÃO!A23,FIND("VARA DO TRABALHO",CLASSIFICAÇÃO!A23)+LEN("VARA DO TRABALHO"),999)),3)="DE ",MID(TRIM(MID(CLASSIFICAÇÃO!A23,FIND("VARA DO TRABALHO",CLASSIFICAÇÃO!A23)+LEN("VARA DO TRABALHO"),999)),4,999),TRIM(MID(CLASSIFICAÇÃO!A23,FIND("VARA DO TRABALHO",CLASSIFICAÇÃO!A23)+LEN("VARA DO TRABALHO"),999)))))</f>
        <v>JOINVILLE</v>
      </c>
      <c r="D23" s="0" t="str">
        <f aca="false">B23&amp;"|"&amp;C23</f>
        <v>2|JOINVILLE</v>
      </c>
      <c r="F23" s="0" t="s">
        <v>96</v>
      </c>
      <c r="G23" s="0" t="n">
        <v>2</v>
      </c>
      <c r="H23" s="0" t="str">
        <f aca="false">UPPER(TRIM(LEFT(F23,FIND("-",F23)-1)))</f>
        <v>FLORIANÓPOLIS</v>
      </c>
      <c r="I23" s="0" t="n">
        <f aca="false">VALUE(TRIM(MID(F23,FIND("-",F23)+1,FIND("a Vara",F23)-FIND("-",F23)-1)))</f>
        <v>2</v>
      </c>
      <c r="J23" s="0" t="str">
        <f aca="false">I23&amp;"|"&amp;H23</f>
        <v>2|FLORIANÓPOLIS</v>
      </c>
    </row>
    <row r="24" customFormat="false" ht="15" hidden="false" customHeight="false" outlineLevel="0" collapsed="false">
      <c r="A24" s="0" t="str">
        <f aca="false">CLASSIFICAÇÃO!A24</f>
        <v>2ª VARA DO TRABALHO DE LAGES</v>
      </c>
      <c r="B24" s="0" t="n">
        <f aca="false">IF(ISNUMBER(--LEFT(TRIM(CLASSIFICAÇÃO!A24),1)),VALUE(LEFT(TRIM(CLASSIFICAÇÃO!A24),FIND("ª",TRIM(CLASSIFICAÇÃO!A24))-1)),1)</f>
        <v>2</v>
      </c>
      <c r="C24" s="0" t="str">
        <f aca="false">UPPER(TRIM(IF(LEFT(TRIM(MID(CLASSIFICAÇÃO!A24,FIND("VARA DO TRABALHO",CLASSIFICAÇÃO!A24)+LEN("VARA DO TRABALHO"),999)),3)="DE ",MID(TRIM(MID(CLASSIFICAÇÃO!A24,FIND("VARA DO TRABALHO",CLASSIFICAÇÃO!A24)+LEN("VARA DO TRABALHO"),999)),4,999),TRIM(MID(CLASSIFICAÇÃO!A24,FIND("VARA DO TRABALHO",CLASSIFICAÇÃO!A24)+LEN("VARA DO TRABALHO"),999)))))</f>
        <v>LAGES</v>
      </c>
      <c r="D24" s="0" t="str">
        <f aca="false">B24&amp;"|"&amp;C24</f>
        <v>2|LAGES</v>
      </c>
      <c r="F24" s="0" t="s">
        <v>97</v>
      </c>
      <c r="G24" s="0" t="n">
        <v>1</v>
      </c>
      <c r="H24" s="0" t="str">
        <f aca="false">UPPER(TRIM(LEFT(F24,FIND("-",F24)-1)))</f>
        <v>FLORIANÓPOLIS</v>
      </c>
      <c r="I24" s="0" t="n">
        <f aca="false">VALUE(TRIM(MID(F24,FIND("-",F24)+1,FIND("a Vara",F24)-FIND("-",F24)-1)))</f>
        <v>3</v>
      </c>
      <c r="J24" s="0" t="str">
        <f aca="false">I24&amp;"|"&amp;H24</f>
        <v>3|FLORIANÓPOLIS</v>
      </c>
    </row>
    <row r="25" customFormat="false" ht="15" hidden="false" customHeight="false" outlineLevel="0" collapsed="false">
      <c r="A25" s="0" t="str">
        <f aca="false">CLASSIFICAÇÃO!A25</f>
        <v>2ª VARA DO TRABALHO DE RIO DO SUL</v>
      </c>
      <c r="B25" s="0" t="n">
        <f aca="false">IF(ISNUMBER(--LEFT(TRIM(CLASSIFICAÇÃO!A25),1)),VALUE(LEFT(TRIM(CLASSIFICAÇÃO!A25),FIND("ª",TRIM(CLASSIFICAÇÃO!A25))-1)),1)</f>
        <v>2</v>
      </c>
      <c r="C25" s="0" t="str">
        <f aca="false">UPPER(TRIM(IF(LEFT(TRIM(MID(CLASSIFICAÇÃO!A25,FIND("VARA DO TRABALHO",CLASSIFICAÇÃO!A25)+LEN("VARA DO TRABALHO"),999)),3)="DE ",MID(TRIM(MID(CLASSIFICAÇÃO!A25,FIND("VARA DO TRABALHO",CLASSIFICAÇÃO!A25)+LEN("VARA DO TRABALHO"),999)),4,999),TRIM(MID(CLASSIFICAÇÃO!A25,FIND("VARA DO TRABALHO",CLASSIFICAÇÃO!A25)+LEN("VARA DO TRABALHO"),999)))))</f>
        <v>RIO DO SUL</v>
      </c>
      <c r="D25" s="0" t="str">
        <f aca="false">B25&amp;"|"&amp;C25</f>
        <v>2|RIO DO SUL</v>
      </c>
      <c r="F25" s="0" t="s">
        <v>98</v>
      </c>
      <c r="G25" s="0" t="n">
        <v>1</v>
      </c>
      <c r="H25" s="0" t="str">
        <f aca="false">UPPER(TRIM(LEFT(F25,FIND("-",F25)-1)))</f>
        <v>FLORIANÓPOLIS</v>
      </c>
      <c r="I25" s="0" t="n">
        <f aca="false">VALUE(TRIM(MID(F25,FIND("-",F25)+1,FIND("a Vara",F25)-FIND("-",F25)-1)))</f>
        <v>4</v>
      </c>
      <c r="J25" s="0" t="str">
        <f aca="false">I25&amp;"|"&amp;H25</f>
        <v>4|FLORIANÓPOLIS</v>
      </c>
    </row>
    <row r="26" customFormat="false" ht="15" hidden="false" customHeight="false" outlineLevel="0" collapsed="false">
      <c r="A26" s="0" t="str">
        <f aca="false">CLASSIFICAÇÃO!A26</f>
        <v>2ª VARA DO TRABALHO DE TUBARÃO</v>
      </c>
      <c r="B26" s="0" t="n">
        <f aca="false">IF(ISNUMBER(--LEFT(TRIM(CLASSIFICAÇÃO!A26),1)),VALUE(LEFT(TRIM(CLASSIFICAÇÃO!A26),FIND("ª",TRIM(CLASSIFICAÇÃO!A26))-1)),1)</f>
        <v>2</v>
      </c>
      <c r="C26" s="0" t="str">
        <f aca="false">UPPER(TRIM(IF(LEFT(TRIM(MID(CLASSIFICAÇÃO!A26,FIND("VARA DO TRABALHO",CLASSIFICAÇÃO!A26)+LEN("VARA DO TRABALHO"),999)),3)="DE ",MID(TRIM(MID(CLASSIFICAÇÃO!A26,FIND("VARA DO TRABALHO",CLASSIFICAÇÃO!A26)+LEN("VARA DO TRABALHO"),999)),4,999),TRIM(MID(CLASSIFICAÇÃO!A26,FIND("VARA DO TRABALHO",CLASSIFICAÇÃO!A26)+LEN("VARA DO TRABALHO"),999)))))</f>
        <v>TUBARÃO</v>
      </c>
      <c r="D26" s="0" t="str">
        <f aca="false">B26&amp;"|"&amp;C26</f>
        <v>2|TUBARÃO</v>
      </c>
      <c r="F26" s="0" t="s">
        <v>99</v>
      </c>
      <c r="G26" s="0" t="n">
        <v>2</v>
      </c>
      <c r="H26" s="0" t="str">
        <f aca="false">UPPER(TRIM(LEFT(F26,FIND("-",F26)-1)))</f>
        <v>FLORIANÓPOLIS</v>
      </c>
      <c r="I26" s="0" t="n">
        <f aca="false">VALUE(TRIM(MID(F26,FIND("-",F26)+1,FIND("a Vara",F26)-FIND("-",F26)-1)))</f>
        <v>5</v>
      </c>
      <c r="J26" s="0" t="str">
        <f aca="false">I26&amp;"|"&amp;H26</f>
        <v>5|FLORIANÓPOLIS</v>
      </c>
    </row>
    <row r="27" customFormat="false" ht="15" hidden="false" customHeight="false" outlineLevel="0" collapsed="false">
      <c r="A27" s="0" t="str">
        <f aca="false">CLASSIFICAÇÃO!A27</f>
        <v>2ª VARA DO TRABALHO SÃO JOSÉ</v>
      </c>
      <c r="B27" s="0" t="n">
        <f aca="false">IF(ISNUMBER(--LEFT(TRIM(CLASSIFICAÇÃO!A27),1)),VALUE(LEFT(TRIM(CLASSIFICAÇÃO!A27),FIND("ª",TRIM(CLASSIFICAÇÃO!A27))-1)),1)</f>
        <v>2</v>
      </c>
      <c r="C27" s="0" t="str">
        <f aca="false">UPPER(TRIM(IF(LEFT(TRIM(MID(CLASSIFICAÇÃO!A27,FIND("VARA DO TRABALHO",CLASSIFICAÇÃO!A27)+LEN("VARA DO TRABALHO"),999)),3)="DE ",MID(TRIM(MID(CLASSIFICAÇÃO!A27,FIND("VARA DO TRABALHO",CLASSIFICAÇÃO!A27)+LEN("VARA DO TRABALHO"),999)),4,999),TRIM(MID(CLASSIFICAÇÃO!A27,FIND("VARA DO TRABALHO",CLASSIFICAÇÃO!A27)+LEN("VARA DO TRABALHO"),999)))))</f>
        <v>SÃO JOSÉ</v>
      </c>
      <c r="D27" s="0" t="str">
        <f aca="false">B27&amp;"|"&amp;C27</f>
        <v>2|SÃO JOSÉ</v>
      </c>
      <c r="F27" s="0" t="s">
        <v>100</v>
      </c>
      <c r="G27" s="0" t="n">
        <v>2</v>
      </c>
      <c r="H27" s="0" t="str">
        <f aca="false">UPPER(TRIM(LEFT(F27,FIND("-",F27)-1)))</f>
        <v>FLORIANÓPOLIS</v>
      </c>
      <c r="I27" s="0" t="n">
        <f aca="false">VALUE(TRIM(MID(F27,FIND("-",F27)+1,FIND("a Vara",F27)-FIND("-",F27)-1)))</f>
        <v>6</v>
      </c>
      <c r="J27" s="0" t="str">
        <f aca="false">I27&amp;"|"&amp;H27</f>
        <v>6|FLORIANÓPOLIS</v>
      </c>
    </row>
    <row r="28" customFormat="false" ht="15" hidden="false" customHeight="false" outlineLevel="0" collapsed="false">
      <c r="A28" s="0" t="str">
        <f aca="false">CLASSIFICAÇÃO!A28</f>
        <v>3ª VARA DO TRABALHO DE BLUMENAU</v>
      </c>
      <c r="B28" s="0" t="n">
        <f aca="false">IF(ISNUMBER(--LEFT(TRIM(CLASSIFICAÇÃO!A28),1)),VALUE(LEFT(TRIM(CLASSIFICAÇÃO!A28),FIND("ª",TRIM(CLASSIFICAÇÃO!A28))-1)),1)</f>
        <v>3</v>
      </c>
      <c r="C28" s="0" t="str">
        <f aca="false">UPPER(TRIM(IF(LEFT(TRIM(MID(CLASSIFICAÇÃO!A28,FIND("VARA DO TRABALHO",CLASSIFICAÇÃO!A28)+LEN("VARA DO TRABALHO"),999)),3)="DE ",MID(TRIM(MID(CLASSIFICAÇÃO!A28,FIND("VARA DO TRABALHO",CLASSIFICAÇÃO!A28)+LEN("VARA DO TRABALHO"),999)),4,999),TRIM(MID(CLASSIFICAÇÃO!A28,FIND("VARA DO TRABALHO",CLASSIFICAÇÃO!A28)+LEN("VARA DO TRABALHO"),999)))))</f>
        <v>BLUMENAU</v>
      </c>
      <c r="D28" s="0" t="str">
        <f aca="false">B28&amp;"|"&amp;C28</f>
        <v>3|BLUMENAU</v>
      </c>
      <c r="F28" s="0" t="s">
        <v>101</v>
      </c>
      <c r="G28" s="0" t="n">
        <v>1</v>
      </c>
      <c r="H28" s="0" t="str">
        <f aca="false">UPPER(TRIM(LEFT(F28,FIND("-",F28)-1)))</f>
        <v>FLORIANÓPOLIS</v>
      </c>
      <c r="I28" s="0" t="n">
        <f aca="false">VALUE(TRIM(MID(F28,FIND("-",F28)+1,FIND("a Vara",F28)-FIND("-",F28)-1)))</f>
        <v>7</v>
      </c>
      <c r="J28" s="0" t="str">
        <f aca="false">I28&amp;"|"&amp;H28</f>
        <v>7|FLORIANÓPOLIS</v>
      </c>
    </row>
    <row r="29" customFormat="false" ht="15" hidden="false" customHeight="false" outlineLevel="0" collapsed="false">
      <c r="A29" s="0" t="str">
        <f aca="false">CLASSIFICAÇÃO!A29</f>
        <v>3ª VARA DO TRABALHO DE CHAPECÓ</v>
      </c>
      <c r="B29" s="0" t="n">
        <f aca="false">IF(ISNUMBER(--LEFT(TRIM(CLASSIFICAÇÃO!A29),1)),VALUE(LEFT(TRIM(CLASSIFICAÇÃO!A29),FIND("ª",TRIM(CLASSIFICAÇÃO!A29))-1)),1)</f>
        <v>3</v>
      </c>
      <c r="C29" s="0" t="str">
        <f aca="false">UPPER(TRIM(IF(LEFT(TRIM(MID(CLASSIFICAÇÃO!A29,FIND("VARA DO TRABALHO",CLASSIFICAÇÃO!A29)+LEN("VARA DO TRABALHO"),999)),3)="DE ",MID(TRIM(MID(CLASSIFICAÇÃO!A29,FIND("VARA DO TRABALHO",CLASSIFICAÇÃO!A29)+LEN("VARA DO TRABALHO"),999)),4,999),TRIM(MID(CLASSIFICAÇÃO!A29,FIND("VARA DO TRABALHO",CLASSIFICAÇÃO!A29)+LEN("VARA DO TRABALHO"),999)))))</f>
        <v>CHAPECÓ</v>
      </c>
      <c r="D29" s="0" t="str">
        <f aca="false">B29&amp;"|"&amp;C29</f>
        <v>3|CHAPECÓ</v>
      </c>
      <c r="F29" s="0" t="s">
        <v>102</v>
      </c>
      <c r="G29" s="0" t="n">
        <v>1</v>
      </c>
      <c r="H29" s="0" t="str">
        <f aca="false">UPPER(TRIM(LEFT(F29,FIND("-",F29)-1)))</f>
        <v>FRAIBURGO</v>
      </c>
      <c r="I29" s="0" t="n">
        <f aca="false">VALUE(TRIM(MID(F29,FIND("-",F29)+1,FIND("a Vara",F29)-FIND("-",F29)-1)))</f>
        <v>1</v>
      </c>
      <c r="J29" s="0" t="str">
        <f aca="false">I29&amp;"|"&amp;H29</f>
        <v>1|FRAIBURGO</v>
      </c>
    </row>
    <row r="30" customFormat="false" ht="15" hidden="false" customHeight="false" outlineLevel="0" collapsed="false">
      <c r="A30" s="0" t="str">
        <f aca="false">CLASSIFICAÇÃO!A30</f>
        <v>3ª VARA DO TRABALHO DE CRICIÚMA</v>
      </c>
      <c r="B30" s="0" t="n">
        <f aca="false">IF(ISNUMBER(--LEFT(TRIM(CLASSIFICAÇÃO!A30),1)),VALUE(LEFT(TRIM(CLASSIFICAÇÃO!A30),FIND("ª",TRIM(CLASSIFICAÇÃO!A30))-1)),1)</f>
        <v>3</v>
      </c>
      <c r="C30" s="0" t="str">
        <f aca="false">UPPER(TRIM(IF(LEFT(TRIM(MID(CLASSIFICAÇÃO!A30,FIND("VARA DO TRABALHO",CLASSIFICAÇÃO!A30)+LEN("VARA DO TRABALHO"),999)),3)="DE ",MID(TRIM(MID(CLASSIFICAÇÃO!A30,FIND("VARA DO TRABALHO",CLASSIFICAÇÃO!A30)+LEN("VARA DO TRABALHO"),999)),4,999),TRIM(MID(CLASSIFICAÇÃO!A30,FIND("VARA DO TRABALHO",CLASSIFICAÇÃO!A30)+LEN("VARA DO TRABALHO"),999)))))</f>
        <v>CRICIÚMA</v>
      </c>
      <c r="D30" s="0" t="str">
        <f aca="false">B30&amp;"|"&amp;C30</f>
        <v>3|CRICIÚMA</v>
      </c>
      <c r="F30" s="0" t="s">
        <v>103</v>
      </c>
      <c r="G30" s="0" t="n">
        <v>1</v>
      </c>
      <c r="H30" s="0" t="str">
        <f aca="false">UPPER(TRIM(LEFT(F30,FIND("-",F30)-1)))</f>
        <v>IMBITUBA</v>
      </c>
      <c r="I30" s="0" t="n">
        <f aca="false">VALUE(TRIM(MID(F30,FIND("-",F30)+1,FIND("a Vara",F30)-FIND("-",F30)-1)))</f>
        <v>1</v>
      </c>
      <c r="J30" s="0" t="str">
        <f aca="false">I30&amp;"|"&amp;H30</f>
        <v>1|IMBITUBA</v>
      </c>
    </row>
    <row r="31" customFormat="false" ht="15" hidden="false" customHeight="false" outlineLevel="0" collapsed="false">
      <c r="A31" s="0" t="str">
        <f aca="false">CLASSIFICAÇÃO!A31</f>
        <v>3ª VARA DO TRABALHO DE FLORIANÓPOLIS</v>
      </c>
      <c r="B31" s="0" t="n">
        <f aca="false">IF(ISNUMBER(--LEFT(TRIM(CLASSIFICAÇÃO!A31),1)),VALUE(LEFT(TRIM(CLASSIFICAÇÃO!A31),FIND("ª",TRIM(CLASSIFICAÇÃO!A31))-1)),1)</f>
        <v>3</v>
      </c>
      <c r="C31" s="0" t="str">
        <f aca="false">UPPER(TRIM(IF(LEFT(TRIM(MID(CLASSIFICAÇÃO!A31,FIND("VARA DO TRABALHO",CLASSIFICAÇÃO!A31)+LEN("VARA DO TRABALHO"),999)),3)="DE ",MID(TRIM(MID(CLASSIFICAÇÃO!A31,FIND("VARA DO TRABALHO",CLASSIFICAÇÃO!A31)+LEN("VARA DO TRABALHO"),999)),4,999),TRIM(MID(CLASSIFICAÇÃO!A31,FIND("VARA DO TRABALHO",CLASSIFICAÇÃO!A31)+LEN("VARA DO TRABALHO"),999)))))</f>
        <v>FLORIANÓPOLIS</v>
      </c>
      <c r="D31" s="0" t="str">
        <f aca="false">B31&amp;"|"&amp;C31</f>
        <v>3|FLORIANÓPOLIS</v>
      </c>
      <c r="F31" s="0" t="s">
        <v>104</v>
      </c>
      <c r="G31" s="0" t="n">
        <v>1</v>
      </c>
      <c r="H31" s="0" t="str">
        <f aca="false">UPPER(TRIM(LEFT(F31,FIND("-",F31)-1)))</f>
        <v>INDAIAL</v>
      </c>
      <c r="I31" s="0" t="n">
        <f aca="false">VALUE(TRIM(MID(F31,FIND("-",F31)+1,FIND("a Vara",F31)-FIND("-",F31)-1)))</f>
        <v>1</v>
      </c>
      <c r="J31" s="0" t="str">
        <f aca="false">I31&amp;"|"&amp;H31</f>
        <v>1|INDAIAL</v>
      </c>
    </row>
    <row r="32" customFormat="false" ht="15" hidden="false" customHeight="false" outlineLevel="0" collapsed="false">
      <c r="A32" s="0" t="str">
        <f aca="false">CLASSIFICAÇÃO!A32</f>
        <v>3ª VARA DO TRABALHO DE ITAJAÍ</v>
      </c>
      <c r="B32" s="0" t="n">
        <f aca="false">IF(ISNUMBER(--LEFT(TRIM(CLASSIFICAÇÃO!A32),1)),VALUE(LEFT(TRIM(CLASSIFICAÇÃO!A32),FIND("ª",TRIM(CLASSIFICAÇÃO!A32))-1)),1)</f>
        <v>3</v>
      </c>
      <c r="C32" s="0" t="str">
        <f aca="false">UPPER(TRIM(IF(LEFT(TRIM(MID(CLASSIFICAÇÃO!A32,FIND("VARA DO TRABALHO",CLASSIFICAÇÃO!A32)+LEN("VARA DO TRABALHO"),999)),3)="DE ",MID(TRIM(MID(CLASSIFICAÇÃO!A32,FIND("VARA DO TRABALHO",CLASSIFICAÇÃO!A32)+LEN("VARA DO TRABALHO"),999)),4,999),TRIM(MID(CLASSIFICAÇÃO!A32,FIND("VARA DO TRABALHO",CLASSIFICAÇÃO!A32)+LEN("VARA DO TRABALHO"),999)))))</f>
        <v>ITAJAÍ</v>
      </c>
      <c r="D32" s="0" t="str">
        <f aca="false">B32&amp;"|"&amp;C32</f>
        <v>3|ITAJAÍ</v>
      </c>
      <c r="F32" s="0" t="s">
        <v>105</v>
      </c>
      <c r="G32" s="0" t="n">
        <v>2</v>
      </c>
      <c r="H32" s="0" t="str">
        <f aca="false">UPPER(TRIM(LEFT(F32,FIND("-",F32)-1)))</f>
        <v>ITAJAÍ</v>
      </c>
      <c r="I32" s="0" t="n">
        <f aca="false">VALUE(TRIM(MID(F32,FIND("-",F32)+1,FIND("a Vara",F32)-FIND("-",F32)-1)))</f>
        <v>1</v>
      </c>
      <c r="J32" s="0" t="str">
        <f aca="false">I32&amp;"|"&amp;H32</f>
        <v>1|ITAJAÍ</v>
      </c>
    </row>
    <row r="33" customFormat="false" ht="15" hidden="false" customHeight="false" outlineLevel="0" collapsed="false">
      <c r="A33" s="0" t="str">
        <f aca="false">CLASSIFICAÇÃO!A33</f>
        <v>3ª VARA DO TRABALHO DE JOINVILLE</v>
      </c>
      <c r="B33" s="0" t="n">
        <f aca="false">IF(ISNUMBER(--LEFT(TRIM(CLASSIFICAÇÃO!A33),1)),VALUE(LEFT(TRIM(CLASSIFICAÇÃO!A33),FIND("ª",TRIM(CLASSIFICAÇÃO!A33))-1)),1)</f>
        <v>3</v>
      </c>
      <c r="C33" s="0" t="str">
        <f aca="false">UPPER(TRIM(IF(LEFT(TRIM(MID(CLASSIFICAÇÃO!A33,FIND("VARA DO TRABALHO",CLASSIFICAÇÃO!A33)+LEN("VARA DO TRABALHO"),999)),3)="DE ",MID(TRIM(MID(CLASSIFICAÇÃO!A33,FIND("VARA DO TRABALHO",CLASSIFICAÇÃO!A33)+LEN("VARA DO TRABALHO"),999)),4,999),TRIM(MID(CLASSIFICAÇÃO!A33,FIND("VARA DO TRABALHO",CLASSIFICAÇÃO!A33)+LEN("VARA DO TRABALHO"),999)))))</f>
        <v>JOINVILLE</v>
      </c>
      <c r="D33" s="0" t="str">
        <f aca="false">B33&amp;"|"&amp;C33</f>
        <v>3|JOINVILLE</v>
      </c>
      <c r="F33" s="0" t="s">
        <v>106</v>
      </c>
      <c r="G33" s="0" t="n">
        <v>2</v>
      </c>
      <c r="H33" s="0" t="str">
        <f aca="false">UPPER(TRIM(LEFT(F33,FIND("-",F33)-1)))</f>
        <v>ITAJAÍ</v>
      </c>
      <c r="I33" s="0" t="n">
        <f aca="false">VALUE(TRIM(MID(F33,FIND("-",F33)+1,FIND("a Vara",F33)-FIND("-",F33)-1)))</f>
        <v>2</v>
      </c>
      <c r="J33" s="0" t="str">
        <f aca="false">I33&amp;"|"&amp;H33</f>
        <v>2|ITAJAÍ</v>
      </c>
    </row>
    <row r="34" customFormat="false" ht="15" hidden="false" customHeight="false" outlineLevel="0" collapsed="false">
      <c r="A34" s="0" t="str">
        <f aca="false">CLASSIFICAÇÃO!A34</f>
        <v>3ª VARA DO TRABALHO DE LAGES</v>
      </c>
      <c r="B34" s="0" t="n">
        <f aca="false">IF(ISNUMBER(--LEFT(TRIM(CLASSIFICAÇÃO!A34),1)),VALUE(LEFT(TRIM(CLASSIFICAÇÃO!A34),FIND("ª",TRIM(CLASSIFICAÇÃO!A34))-1)),1)</f>
        <v>3</v>
      </c>
      <c r="C34" s="0" t="str">
        <f aca="false">UPPER(TRIM(IF(LEFT(TRIM(MID(CLASSIFICAÇÃO!A34,FIND("VARA DO TRABALHO",CLASSIFICAÇÃO!A34)+LEN("VARA DO TRABALHO"),999)),3)="DE ",MID(TRIM(MID(CLASSIFICAÇÃO!A34,FIND("VARA DO TRABALHO",CLASSIFICAÇÃO!A34)+LEN("VARA DO TRABALHO"),999)),4,999),TRIM(MID(CLASSIFICAÇÃO!A34,FIND("VARA DO TRABALHO",CLASSIFICAÇÃO!A34)+LEN("VARA DO TRABALHO"),999)))))</f>
        <v>LAGES</v>
      </c>
      <c r="D34" s="0" t="str">
        <f aca="false">B34&amp;"|"&amp;C34</f>
        <v>3|LAGES</v>
      </c>
      <c r="F34" s="0" t="s">
        <v>107</v>
      </c>
      <c r="G34" s="0" t="n">
        <v>2</v>
      </c>
      <c r="H34" s="0" t="str">
        <f aca="false">UPPER(TRIM(LEFT(F34,FIND("-",F34)-1)))</f>
        <v>ITAJAÍ</v>
      </c>
      <c r="I34" s="0" t="n">
        <f aca="false">VALUE(TRIM(MID(F34,FIND("-",F34)+1,FIND("a Vara",F34)-FIND("-",F34)-1)))</f>
        <v>3</v>
      </c>
      <c r="J34" s="0" t="str">
        <f aca="false">I34&amp;"|"&amp;H34</f>
        <v>3|ITAJAÍ</v>
      </c>
    </row>
    <row r="35" customFormat="false" ht="15" hidden="false" customHeight="false" outlineLevel="0" collapsed="false">
      <c r="A35" s="0" t="str">
        <f aca="false">CLASSIFICAÇÃO!A35</f>
        <v>3ª VARA DO TRABALHO SÃO JOSÉ</v>
      </c>
      <c r="B35" s="0" t="n">
        <f aca="false">IF(ISNUMBER(--LEFT(TRIM(CLASSIFICAÇÃO!A35),1)),VALUE(LEFT(TRIM(CLASSIFICAÇÃO!A35),FIND("ª",TRIM(CLASSIFICAÇÃO!A35))-1)),1)</f>
        <v>3</v>
      </c>
      <c r="C35" s="0" t="str">
        <f aca="false">UPPER(TRIM(IF(LEFT(TRIM(MID(CLASSIFICAÇÃO!A35,FIND("VARA DO TRABALHO",CLASSIFICAÇÃO!A35)+LEN("VARA DO TRABALHO"),999)),3)="DE ",MID(TRIM(MID(CLASSIFICAÇÃO!A35,FIND("VARA DO TRABALHO",CLASSIFICAÇÃO!A35)+LEN("VARA DO TRABALHO"),999)),4,999),TRIM(MID(CLASSIFICAÇÃO!A35,FIND("VARA DO TRABALHO",CLASSIFICAÇÃO!A35)+LEN("VARA DO TRABALHO"),999)))))</f>
        <v>SÃO JOSÉ</v>
      </c>
      <c r="D35" s="0" t="str">
        <f aca="false">B35&amp;"|"&amp;C35</f>
        <v>3|SÃO JOSÉ</v>
      </c>
      <c r="F35" s="0" t="s">
        <v>108</v>
      </c>
      <c r="G35" s="0" t="n">
        <v>2</v>
      </c>
      <c r="H35" s="0" t="str">
        <f aca="false">UPPER(TRIM(LEFT(F35,FIND("-",F35)-1)))</f>
        <v>ITAPEMA</v>
      </c>
      <c r="I35" s="0" t="n">
        <f aca="false">VALUE(TRIM(MID(F35,FIND("-",F35)+1,FIND("a Vara",F35)-FIND("-",F35)-1)))</f>
        <v>1</v>
      </c>
      <c r="J35" s="0" t="str">
        <f aca="false">I35&amp;"|"&amp;H35</f>
        <v>1|ITAPEMA</v>
      </c>
    </row>
    <row r="36" customFormat="false" ht="15" hidden="false" customHeight="false" outlineLevel="0" collapsed="false">
      <c r="A36" s="0" t="str">
        <f aca="false">CLASSIFICAÇÃO!A36</f>
        <v>4ª VARA DO TRABALHO DE BLUMENAU</v>
      </c>
      <c r="B36" s="0" t="n">
        <f aca="false">IF(ISNUMBER(--LEFT(TRIM(CLASSIFICAÇÃO!A36),1)),VALUE(LEFT(TRIM(CLASSIFICAÇÃO!A36),FIND("ª",TRIM(CLASSIFICAÇÃO!A36))-1)),1)</f>
        <v>4</v>
      </c>
      <c r="C36" s="0" t="str">
        <f aca="false">UPPER(TRIM(IF(LEFT(TRIM(MID(CLASSIFICAÇÃO!A36,FIND("VARA DO TRABALHO",CLASSIFICAÇÃO!A36)+LEN("VARA DO TRABALHO"),999)),3)="DE ",MID(TRIM(MID(CLASSIFICAÇÃO!A36,FIND("VARA DO TRABALHO",CLASSIFICAÇÃO!A36)+LEN("VARA DO TRABALHO"),999)),4,999),TRIM(MID(CLASSIFICAÇÃO!A36,FIND("VARA DO TRABALHO",CLASSIFICAÇÃO!A36)+LEN("VARA DO TRABALHO"),999)))))</f>
        <v>BLUMENAU</v>
      </c>
      <c r="D36" s="0" t="str">
        <f aca="false">B36&amp;"|"&amp;C36</f>
        <v>4|BLUMENAU</v>
      </c>
      <c r="F36" s="0" t="s">
        <v>109</v>
      </c>
      <c r="G36" s="0" t="n">
        <v>2</v>
      </c>
      <c r="H36" s="0" t="str">
        <f aca="false">UPPER(TRIM(LEFT(F36,FIND("-",F36)-1)))</f>
        <v>JARAGUÁ DO SUL</v>
      </c>
      <c r="I36" s="0" t="n">
        <f aca="false">VALUE(TRIM(MID(F36,FIND("-",F36)+1,FIND("a Vara",F36)-FIND("-",F36)-1)))</f>
        <v>1</v>
      </c>
      <c r="J36" s="0" t="str">
        <f aca="false">I36&amp;"|"&amp;H36</f>
        <v>1|JARAGUÁ DO SUL</v>
      </c>
    </row>
    <row r="37" customFormat="false" ht="15" hidden="false" customHeight="false" outlineLevel="0" collapsed="false">
      <c r="A37" s="0" t="str">
        <f aca="false">CLASSIFICAÇÃO!A37</f>
        <v>4ª VARA DO TRABALHO DE CHAPECÓ</v>
      </c>
      <c r="B37" s="0" t="n">
        <f aca="false">IF(ISNUMBER(--LEFT(TRIM(CLASSIFICAÇÃO!A37),1)),VALUE(LEFT(TRIM(CLASSIFICAÇÃO!A37),FIND("ª",TRIM(CLASSIFICAÇÃO!A37))-1)),1)</f>
        <v>4</v>
      </c>
      <c r="C37" s="0" t="str">
        <f aca="false">UPPER(TRIM(IF(LEFT(TRIM(MID(CLASSIFICAÇÃO!A37,FIND("VARA DO TRABALHO",CLASSIFICAÇÃO!A37)+LEN("VARA DO TRABALHO"),999)),3)="DE ",MID(TRIM(MID(CLASSIFICAÇÃO!A37,FIND("VARA DO TRABALHO",CLASSIFICAÇÃO!A37)+LEN("VARA DO TRABALHO"),999)),4,999),TRIM(MID(CLASSIFICAÇÃO!A37,FIND("VARA DO TRABALHO",CLASSIFICAÇÃO!A37)+LEN("VARA DO TRABALHO"),999)))))</f>
        <v>CHAPECÓ</v>
      </c>
      <c r="D37" s="0" t="str">
        <f aca="false">B37&amp;"|"&amp;C37</f>
        <v>4|CHAPECÓ</v>
      </c>
      <c r="F37" s="0" t="s">
        <v>110</v>
      </c>
      <c r="G37" s="0" t="n">
        <v>2</v>
      </c>
      <c r="H37" s="0" t="str">
        <f aca="false">UPPER(TRIM(LEFT(F37,FIND("-",F37)-1)))</f>
        <v>JARAGUÁ DO SUL</v>
      </c>
      <c r="I37" s="0" t="n">
        <f aca="false">VALUE(TRIM(MID(F37,FIND("-",F37)+1,FIND("a Vara",F37)-FIND("-",F37)-1)))</f>
        <v>2</v>
      </c>
      <c r="J37" s="0" t="str">
        <f aca="false">I37&amp;"|"&amp;H37</f>
        <v>2|JARAGUÁ DO SUL</v>
      </c>
    </row>
    <row r="38" customFormat="false" ht="15" hidden="false" customHeight="false" outlineLevel="0" collapsed="false">
      <c r="A38" s="0" t="str">
        <f aca="false">CLASSIFICAÇÃO!A38</f>
        <v>4ª VARA DO TRABALHO DE FLORIANÓPOLIS</v>
      </c>
      <c r="B38" s="0" t="n">
        <f aca="false">IF(ISNUMBER(--LEFT(TRIM(CLASSIFICAÇÃO!A38),1)),VALUE(LEFT(TRIM(CLASSIFICAÇÃO!A38),FIND("ª",TRIM(CLASSIFICAÇÃO!A38))-1)),1)</f>
        <v>4</v>
      </c>
      <c r="C38" s="0" t="str">
        <f aca="false">UPPER(TRIM(IF(LEFT(TRIM(MID(CLASSIFICAÇÃO!A38,FIND("VARA DO TRABALHO",CLASSIFICAÇÃO!A38)+LEN("VARA DO TRABALHO"),999)),3)="DE ",MID(TRIM(MID(CLASSIFICAÇÃO!A38,FIND("VARA DO TRABALHO",CLASSIFICAÇÃO!A38)+LEN("VARA DO TRABALHO"),999)),4,999),TRIM(MID(CLASSIFICAÇÃO!A38,FIND("VARA DO TRABALHO",CLASSIFICAÇÃO!A38)+LEN("VARA DO TRABALHO"),999)))))</f>
        <v>FLORIANÓPOLIS</v>
      </c>
      <c r="D38" s="0" t="str">
        <f aca="false">B38&amp;"|"&amp;C38</f>
        <v>4|FLORIANÓPOLIS</v>
      </c>
      <c r="F38" s="0" t="s">
        <v>111</v>
      </c>
      <c r="G38" s="0" t="n">
        <v>2</v>
      </c>
      <c r="H38" s="0" t="str">
        <f aca="false">UPPER(TRIM(LEFT(F38,FIND("-",F38)-1)))</f>
        <v>JOAÇABA</v>
      </c>
      <c r="I38" s="0" t="n">
        <f aca="false">VALUE(TRIM(MID(F38,FIND("-",F38)+1,FIND("a Vara",F38)-FIND("-",F38)-1)))</f>
        <v>1</v>
      </c>
      <c r="J38" s="0" t="str">
        <f aca="false">I38&amp;"|"&amp;H38</f>
        <v>1|JOAÇABA</v>
      </c>
    </row>
    <row r="39" customFormat="false" ht="15" hidden="false" customHeight="false" outlineLevel="0" collapsed="false">
      <c r="A39" s="0" t="str">
        <f aca="false">CLASSIFICAÇÃO!A39</f>
        <v>4ª VARA DO TRABALHO DE JOINVILLE</v>
      </c>
      <c r="B39" s="0" t="n">
        <f aca="false">IF(ISNUMBER(--LEFT(TRIM(CLASSIFICAÇÃO!A39),1)),VALUE(LEFT(TRIM(CLASSIFICAÇÃO!A39),FIND("ª",TRIM(CLASSIFICAÇÃO!A39))-1)),1)</f>
        <v>4</v>
      </c>
      <c r="C39" s="0" t="str">
        <f aca="false">UPPER(TRIM(IF(LEFT(TRIM(MID(CLASSIFICAÇÃO!A39,FIND("VARA DO TRABALHO",CLASSIFICAÇÃO!A39)+LEN("VARA DO TRABALHO"),999)),3)="DE ",MID(TRIM(MID(CLASSIFICAÇÃO!A39,FIND("VARA DO TRABALHO",CLASSIFICAÇÃO!A39)+LEN("VARA DO TRABALHO"),999)),4,999),TRIM(MID(CLASSIFICAÇÃO!A39,FIND("VARA DO TRABALHO",CLASSIFICAÇÃO!A39)+LEN("VARA DO TRABALHO"),999)))))</f>
        <v>JOINVILLE</v>
      </c>
      <c r="D39" s="0" t="str">
        <f aca="false">B39&amp;"|"&amp;C39</f>
        <v>4|JOINVILLE</v>
      </c>
      <c r="F39" s="0" t="s">
        <v>112</v>
      </c>
      <c r="G39" s="0" t="n">
        <v>2</v>
      </c>
      <c r="H39" s="0" t="str">
        <f aca="false">UPPER(TRIM(LEFT(F39,FIND("-",F39)-1)))</f>
        <v>JOINVILLE</v>
      </c>
      <c r="I39" s="0" t="n">
        <f aca="false">VALUE(TRIM(MID(F39,FIND("-",F39)+1,FIND("a Vara",F39)-FIND("-",F39)-1)))</f>
        <v>1</v>
      </c>
      <c r="J39" s="0" t="str">
        <f aca="false">I39&amp;"|"&amp;H39</f>
        <v>1|JOINVILLE</v>
      </c>
    </row>
    <row r="40" customFormat="false" ht="15" hidden="false" customHeight="false" outlineLevel="0" collapsed="false">
      <c r="A40" s="0" t="str">
        <f aca="false">CLASSIFICAÇÃO!A40</f>
        <v>5ª VARA DO TRABALHO DE FLORIANÓPOLIS</v>
      </c>
      <c r="B40" s="0" t="n">
        <f aca="false">IF(ISNUMBER(--LEFT(TRIM(CLASSIFICAÇÃO!A40),1)),VALUE(LEFT(TRIM(CLASSIFICAÇÃO!A40),FIND("ª",TRIM(CLASSIFICAÇÃO!A40))-1)),1)</f>
        <v>5</v>
      </c>
      <c r="C40" s="0" t="str">
        <f aca="false">UPPER(TRIM(IF(LEFT(TRIM(MID(CLASSIFICAÇÃO!A40,FIND("VARA DO TRABALHO",CLASSIFICAÇÃO!A40)+LEN("VARA DO TRABALHO"),999)),3)="DE ",MID(TRIM(MID(CLASSIFICAÇÃO!A40,FIND("VARA DO TRABALHO",CLASSIFICAÇÃO!A40)+LEN("VARA DO TRABALHO"),999)),4,999),TRIM(MID(CLASSIFICAÇÃO!A40,FIND("VARA DO TRABALHO",CLASSIFICAÇÃO!A40)+LEN("VARA DO TRABALHO"),999)))))</f>
        <v>FLORIANÓPOLIS</v>
      </c>
      <c r="D40" s="0" t="str">
        <f aca="false">B40&amp;"|"&amp;C40</f>
        <v>5|FLORIANÓPOLIS</v>
      </c>
      <c r="F40" s="0" t="s">
        <v>113</v>
      </c>
      <c r="G40" s="0" t="n">
        <v>2</v>
      </c>
      <c r="H40" s="0" t="str">
        <f aca="false">UPPER(TRIM(LEFT(F40,FIND("-",F40)-1)))</f>
        <v>JOINVILLE</v>
      </c>
      <c r="I40" s="0" t="n">
        <f aca="false">VALUE(TRIM(MID(F40,FIND("-",F40)+1,FIND("a Vara",F40)-FIND("-",F40)-1)))</f>
        <v>2</v>
      </c>
      <c r="J40" s="0" t="str">
        <f aca="false">I40&amp;"|"&amp;H40</f>
        <v>2|JOINVILLE</v>
      </c>
    </row>
    <row r="41" customFormat="false" ht="15" hidden="false" customHeight="false" outlineLevel="0" collapsed="false">
      <c r="A41" s="0" t="str">
        <f aca="false">CLASSIFICAÇÃO!A41</f>
        <v>5ª VARA DO TRABALHO DE JOINVILLE</v>
      </c>
      <c r="B41" s="0" t="n">
        <f aca="false">IF(ISNUMBER(--LEFT(TRIM(CLASSIFICAÇÃO!A41),1)),VALUE(LEFT(TRIM(CLASSIFICAÇÃO!A41),FIND("ª",TRIM(CLASSIFICAÇÃO!A41))-1)),1)</f>
        <v>5</v>
      </c>
      <c r="C41" s="0" t="str">
        <f aca="false">UPPER(TRIM(IF(LEFT(TRIM(MID(CLASSIFICAÇÃO!A41,FIND("VARA DO TRABALHO",CLASSIFICAÇÃO!A41)+LEN("VARA DO TRABALHO"),999)),3)="DE ",MID(TRIM(MID(CLASSIFICAÇÃO!A41,FIND("VARA DO TRABALHO",CLASSIFICAÇÃO!A41)+LEN("VARA DO TRABALHO"),999)),4,999),TRIM(MID(CLASSIFICAÇÃO!A41,FIND("VARA DO TRABALHO",CLASSIFICAÇÃO!A41)+LEN("VARA DO TRABALHO"),999)))))</f>
        <v>JOINVILLE</v>
      </c>
      <c r="D41" s="0" t="str">
        <f aca="false">B41&amp;"|"&amp;C41</f>
        <v>5|JOINVILLE</v>
      </c>
      <c r="F41" s="0" t="s">
        <v>114</v>
      </c>
      <c r="G41" s="0" t="n">
        <v>2</v>
      </c>
      <c r="H41" s="0" t="str">
        <f aca="false">UPPER(TRIM(LEFT(F41,FIND("-",F41)-1)))</f>
        <v>JOINVILLE</v>
      </c>
      <c r="I41" s="0" t="n">
        <f aca="false">VALUE(TRIM(MID(F41,FIND("-",F41)+1,FIND("a Vara",F41)-FIND("-",F41)-1)))</f>
        <v>3</v>
      </c>
      <c r="J41" s="0" t="str">
        <f aca="false">I41&amp;"|"&amp;H41</f>
        <v>3|JOINVILLE</v>
      </c>
    </row>
    <row r="42" customFormat="false" ht="15" hidden="false" customHeight="false" outlineLevel="0" collapsed="false">
      <c r="A42" s="0" t="str">
        <f aca="false">CLASSIFICAÇÃO!A42</f>
        <v>6ª VARA DO TRABALHO DE FLORIANÓPOLIS</v>
      </c>
      <c r="B42" s="0" t="n">
        <f aca="false">IF(ISNUMBER(--LEFT(TRIM(CLASSIFICAÇÃO!A42),1)),VALUE(LEFT(TRIM(CLASSIFICAÇÃO!A42),FIND("ª",TRIM(CLASSIFICAÇÃO!A42))-1)),1)</f>
        <v>6</v>
      </c>
      <c r="C42" s="0" t="str">
        <f aca="false">UPPER(TRIM(IF(LEFT(TRIM(MID(CLASSIFICAÇÃO!A42,FIND("VARA DO TRABALHO",CLASSIFICAÇÃO!A42)+LEN("VARA DO TRABALHO"),999)),3)="DE ",MID(TRIM(MID(CLASSIFICAÇÃO!A42,FIND("VARA DO TRABALHO",CLASSIFICAÇÃO!A42)+LEN("VARA DO TRABALHO"),999)),4,999),TRIM(MID(CLASSIFICAÇÃO!A42,FIND("VARA DO TRABALHO",CLASSIFICAÇÃO!A42)+LEN("VARA DO TRABALHO"),999)))))</f>
        <v>FLORIANÓPOLIS</v>
      </c>
      <c r="D42" s="0" t="str">
        <f aca="false">B42&amp;"|"&amp;C42</f>
        <v>6|FLORIANÓPOLIS</v>
      </c>
      <c r="F42" s="0" t="s">
        <v>115</v>
      </c>
      <c r="G42" s="0" t="n">
        <v>2</v>
      </c>
      <c r="H42" s="0" t="str">
        <f aca="false">UPPER(TRIM(LEFT(F42,FIND("-",F42)-1)))</f>
        <v>JOINVILLE</v>
      </c>
      <c r="I42" s="0" t="n">
        <f aca="false">VALUE(TRIM(MID(F42,FIND("-",F42)+1,FIND("a Vara",F42)-FIND("-",F42)-1)))</f>
        <v>4</v>
      </c>
      <c r="J42" s="0" t="str">
        <f aca="false">I42&amp;"|"&amp;H42</f>
        <v>4|JOINVILLE</v>
      </c>
    </row>
    <row r="43" customFormat="false" ht="15" hidden="false" customHeight="false" outlineLevel="0" collapsed="false">
      <c r="A43" s="0" t="str">
        <f aca="false">CLASSIFICAÇÃO!A43</f>
        <v>7ª VARA DO TRABALHO DE FLORIANÓPOLIS</v>
      </c>
      <c r="B43" s="0" t="n">
        <f aca="false">IF(ISNUMBER(--LEFT(TRIM(CLASSIFICAÇÃO!A43),1)),VALUE(LEFT(TRIM(CLASSIFICAÇÃO!A43),FIND("ª",TRIM(CLASSIFICAÇÃO!A43))-1)),1)</f>
        <v>7</v>
      </c>
      <c r="C43" s="0" t="str">
        <f aca="false">UPPER(TRIM(IF(LEFT(TRIM(MID(CLASSIFICAÇÃO!A43,FIND("VARA DO TRABALHO",CLASSIFICAÇÃO!A43)+LEN("VARA DO TRABALHO"),999)),3)="DE ",MID(TRIM(MID(CLASSIFICAÇÃO!A43,FIND("VARA DO TRABALHO",CLASSIFICAÇÃO!A43)+LEN("VARA DO TRABALHO"),999)),4,999),TRIM(MID(CLASSIFICAÇÃO!A43,FIND("VARA DO TRABALHO",CLASSIFICAÇÃO!A43)+LEN("VARA DO TRABALHO"),999)))))</f>
        <v>FLORIANÓPOLIS</v>
      </c>
      <c r="D43" s="0" t="str">
        <f aca="false">B43&amp;"|"&amp;C43</f>
        <v>7|FLORIANÓPOLIS</v>
      </c>
      <c r="F43" s="0" t="s">
        <v>116</v>
      </c>
      <c r="G43" s="0" t="n">
        <v>2</v>
      </c>
      <c r="H43" s="0" t="str">
        <f aca="false">UPPER(TRIM(LEFT(F43,FIND("-",F43)-1)))</f>
        <v>JOINVILLE</v>
      </c>
      <c r="I43" s="0" t="n">
        <f aca="false">VALUE(TRIM(MID(F43,FIND("-",F43)+1,FIND("a Vara",F43)-FIND("-",F43)-1)))</f>
        <v>5</v>
      </c>
      <c r="J43" s="0" t="str">
        <f aca="false">I43&amp;"|"&amp;H43</f>
        <v>5|JOINVILLE</v>
      </c>
    </row>
    <row r="44" customFormat="false" ht="15" hidden="false" customHeight="false" outlineLevel="0" collapsed="false">
      <c r="A44" s="0" t="str">
        <f aca="false">CLASSIFICAÇÃO!A44</f>
        <v>VARA DO TRABALHO DE ARARANGUÁ</v>
      </c>
      <c r="B44" s="0" t="n">
        <f aca="false">IF(ISNUMBER(--LEFT(TRIM(CLASSIFICAÇÃO!A44),1)),VALUE(LEFT(TRIM(CLASSIFICAÇÃO!A44),FIND("ª",TRIM(CLASSIFICAÇÃO!A44))-1)),1)</f>
        <v>1</v>
      </c>
      <c r="C44" s="0" t="str">
        <f aca="false">UPPER(TRIM(IF(LEFT(TRIM(MID(CLASSIFICAÇÃO!A44,FIND("VARA DO TRABALHO",CLASSIFICAÇÃO!A44)+LEN("VARA DO TRABALHO"),999)),3)="DE ",MID(TRIM(MID(CLASSIFICAÇÃO!A44,FIND("VARA DO TRABALHO",CLASSIFICAÇÃO!A44)+LEN("VARA DO TRABALHO"),999)),4,999),TRIM(MID(CLASSIFICAÇÃO!A44,FIND("VARA DO TRABALHO",CLASSIFICAÇÃO!A44)+LEN("VARA DO TRABALHO"),999)))))</f>
        <v>ARARANGUÁ</v>
      </c>
      <c r="D44" s="0" t="str">
        <f aca="false">B44&amp;"|"&amp;C44</f>
        <v>1|ARARANGUÁ</v>
      </c>
      <c r="F44" s="0" t="s">
        <v>117</v>
      </c>
      <c r="G44" s="0" t="n">
        <v>1</v>
      </c>
      <c r="H44" s="0" t="str">
        <f aca="false">UPPER(TRIM(LEFT(F44,FIND("-",F44)-1)))</f>
        <v>LAGES</v>
      </c>
      <c r="I44" s="0" t="n">
        <f aca="false">VALUE(TRIM(MID(F44,FIND("-",F44)+1,FIND("a Vara",F44)-FIND("-",F44)-1)))</f>
        <v>1</v>
      </c>
      <c r="J44" s="0" t="str">
        <f aca="false">I44&amp;"|"&amp;H44</f>
        <v>1|LAGES</v>
      </c>
    </row>
    <row r="45" customFormat="false" ht="15" hidden="false" customHeight="false" outlineLevel="0" collapsed="false">
      <c r="A45" s="0" t="str">
        <f aca="false">CLASSIFICAÇÃO!A45</f>
        <v>VARA DO TRABALHO DE CAÇADOR</v>
      </c>
      <c r="B45" s="0" t="n">
        <f aca="false">IF(ISNUMBER(--LEFT(TRIM(CLASSIFICAÇÃO!A45),1)),VALUE(LEFT(TRIM(CLASSIFICAÇÃO!A45),FIND("ª",TRIM(CLASSIFICAÇÃO!A45))-1)),1)</f>
        <v>1</v>
      </c>
      <c r="C45" s="0" t="str">
        <f aca="false">UPPER(TRIM(IF(LEFT(TRIM(MID(CLASSIFICAÇÃO!A45,FIND("VARA DO TRABALHO",CLASSIFICAÇÃO!A45)+LEN("VARA DO TRABALHO"),999)),3)="DE ",MID(TRIM(MID(CLASSIFICAÇÃO!A45,FIND("VARA DO TRABALHO",CLASSIFICAÇÃO!A45)+LEN("VARA DO TRABALHO"),999)),4,999),TRIM(MID(CLASSIFICAÇÃO!A45,FIND("VARA DO TRABALHO",CLASSIFICAÇÃO!A45)+LEN("VARA DO TRABALHO"),999)))))</f>
        <v>CAÇADOR</v>
      </c>
      <c r="D45" s="0" t="str">
        <f aca="false">B45&amp;"|"&amp;C45</f>
        <v>1|CAÇADOR</v>
      </c>
      <c r="F45" s="0" t="s">
        <v>118</v>
      </c>
      <c r="G45" s="0" t="n">
        <v>2</v>
      </c>
      <c r="H45" s="0" t="str">
        <f aca="false">UPPER(TRIM(LEFT(F45,FIND("-",F45)-1)))</f>
        <v>LAGES</v>
      </c>
      <c r="I45" s="0" t="n">
        <f aca="false">VALUE(TRIM(MID(F45,FIND("-",F45)+1,FIND("a Vara",F45)-FIND("-",F45)-1)))</f>
        <v>2</v>
      </c>
      <c r="J45" s="0" t="str">
        <f aca="false">I45&amp;"|"&amp;H45</f>
        <v>2|LAGES</v>
      </c>
    </row>
    <row r="46" customFormat="false" ht="15" hidden="false" customHeight="false" outlineLevel="0" collapsed="false">
      <c r="A46" s="0" t="str">
        <f aca="false">CLASSIFICAÇÃO!A46</f>
        <v>VARA DO TRABALHO DE CANOINHAS</v>
      </c>
      <c r="B46" s="0" t="n">
        <f aca="false">IF(ISNUMBER(--LEFT(TRIM(CLASSIFICAÇÃO!A46),1)),VALUE(LEFT(TRIM(CLASSIFICAÇÃO!A46),FIND("ª",TRIM(CLASSIFICAÇÃO!A46))-1)),1)</f>
        <v>1</v>
      </c>
      <c r="C46" s="0" t="str">
        <f aca="false">UPPER(TRIM(IF(LEFT(TRIM(MID(CLASSIFICAÇÃO!A46,FIND("VARA DO TRABALHO",CLASSIFICAÇÃO!A46)+LEN("VARA DO TRABALHO"),999)),3)="DE ",MID(TRIM(MID(CLASSIFICAÇÃO!A46,FIND("VARA DO TRABALHO",CLASSIFICAÇÃO!A46)+LEN("VARA DO TRABALHO"),999)),4,999),TRIM(MID(CLASSIFICAÇÃO!A46,FIND("VARA DO TRABALHO",CLASSIFICAÇÃO!A46)+LEN("VARA DO TRABALHO"),999)))))</f>
        <v>CANOINHAS</v>
      </c>
      <c r="D46" s="0" t="str">
        <f aca="false">B46&amp;"|"&amp;C46</f>
        <v>1|CANOINHAS</v>
      </c>
      <c r="F46" s="0" t="s">
        <v>119</v>
      </c>
      <c r="G46" s="0" t="n">
        <v>2</v>
      </c>
      <c r="H46" s="0" t="str">
        <f aca="false">UPPER(TRIM(LEFT(F46,FIND("-",F46)-1)))</f>
        <v>LAGES</v>
      </c>
      <c r="I46" s="0" t="n">
        <f aca="false">VALUE(TRIM(MID(F46,FIND("-",F46)+1,FIND("a Vara",F46)-FIND("-",F46)-1)))</f>
        <v>3</v>
      </c>
      <c r="J46" s="0" t="str">
        <f aca="false">I46&amp;"|"&amp;H46</f>
        <v>3|LAGES</v>
      </c>
    </row>
    <row r="47" customFormat="false" ht="15" hidden="false" customHeight="false" outlineLevel="0" collapsed="false">
      <c r="A47" s="0" t="str">
        <f aca="false">CLASSIFICAÇÃO!A47</f>
        <v>VARA DO TRABALHO DE CONCÓRDIA</v>
      </c>
      <c r="B47" s="0" t="n">
        <f aca="false">IF(ISNUMBER(--LEFT(TRIM(CLASSIFICAÇÃO!A47),1)),VALUE(LEFT(TRIM(CLASSIFICAÇÃO!A47),FIND("ª",TRIM(CLASSIFICAÇÃO!A47))-1)),1)</f>
        <v>1</v>
      </c>
      <c r="C47" s="0" t="str">
        <f aca="false">UPPER(TRIM(IF(LEFT(TRIM(MID(CLASSIFICAÇÃO!A47,FIND("VARA DO TRABALHO",CLASSIFICAÇÃO!A47)+LEN("VARA DO TRABALHO"),999)),3)="DE ",MID(TRIM(MID(CLASSIFICAÇÃO!A47,FIND("VARA DO TRABALHO",CLASSIFICAÇÃO!A47)+LEN("VARA DO TRABALHO"),999)),4,999),TRIM(MID(CLASSIFICAÇÃO!A47,FIND("VARA DO TRABALHO",CLASSIFICAÇÃO!A47)+LEN("VARA DO TRABALHO"),999)))))</f>
        <v>CONCÓRDIA</v>
      </c>
      <c r="D47" s="0" t="str">
        <f aca="false">B47&amp;"|"&amp;C47</f>
        <v>1|CONCÓRDIA</v>
      </c>
      <c r="F47" s="0" t="s">
        <v>120</v>
      </c>
      <c r="G47" s="0" t="n">
        <v>2</v>
      </c>
      <c r="H47" s="0" t="str">
        <f aca="false">UPPER(TRIM(LEFT(F47,FIND("-",F47)-1)))</f>
        <v>MAFRA</v>
      </c>
      <c r="I47" s="0" t="n">
        <f aca="false">VALUE(TRIM(MID(F47,FIND("-",F47)+1,FIND("a Vara",F47)-FIND("-",F47)-1)))</f>
        <v>1</v>
      </c>
      <c r="J47" s="0" t="str">
        <f aca="false">I47&amp;"|"&amp;H47</f>
        <v>1|MAFRA</v>
      </c>
    </row>
    <row r="48" customFormat="false" ht="15" hidden="false" customHeight="false" outlineLevel="0" collapsed="false">
      <c r="A48" s="0" t="str">
        <f aca="false">CLASSIFICAÇÃO!A48</f>
        <v>VARA DO TRABALHO DE CURITIBANOS</v>
      </c>
      <c r="B48" s="0" t="n">
        <f aca="false">IF(ISNUMBER(--LEFT(TRIM(CLASSIFICAÇÃO!A48),1)),VALUE(LEFT(TRIM(CLASSIFICAÇÃO!A48),FIND("ª",TRIM(CLASSIFICAÇÃO!A48))-1)),1)</f>
        <v>1</v>
      </c>
      <c r="C48" s="0" t="str">
        <f aca="false">UPPER(TRIM(IF(LEFT(TRIM(MID(CLASSIFICAÇÃO!A48,FIND("VARA DO TRABALHO",CLASSIFICAÇÃO!A48)+LEN("VARA DO TRABALHO"),999)),3)="DE ",MID(TRIM(MID(CLASSIFICAÇÃO!A48,FIND("VARA DO TRABALHO",CLASSIFICAÇÃO!A48)+LEN("VARA DO TRABALHO"),999)),4,999),TRIM(MID(CLASSIFICAÇÃO!A48,FIND("VARA DO TRABALHO",CLASSIFICAÇÃO!A48)+LEN("VARA DO TRABALHO"),999)))))</f>
        <v>CURITIBANOS</v>
      </c>
      <c r="D48" s="0" t="str">
        <f aca="false">B48&amp;"|"&amp;C48</f>
        <v>1|CURITIBANOS</v>
      </c>
      <c r="F48" s="0" t="s">
        <v>121</v>
      </c>
      <c r="G48" s="0" t="n">
        <v>2</v>
      </c>
      <c r="H48" s="0" t="str">
        <f aca="false">UPPER(TRIM(LEFT(F48,FIND("-",F48)-1)))</f>
        <v>NAVEGANTES</v>
      </c>
      <c r="I48" s="0" t="n">
        <f aca="false">VALUE(TRIM(MID(F48,FIND("-",F48)+1,FIND("a Vara",F48)-FIND("-",F48)-1)))</f>
        <v>1</v>
      </c>
      <c r="J48" s="0" t="str">
        <f aca="false">I48&amp;"|"&amp;H48</f>
        <v>1|NAVEGANTES</v>
      </c>
    </row>
    <row r="49" customFormat="false" ht="15" hidden="false" customHeight="false" outlineLevel="0" collapsed="false">
      <c r="A49" s="0" t="str">
        <f aca="false">CLASSIFICAÇÃO!A49</f>
        <v>VARA DO TRABALHO DE FRAIBURGO</v>
      </c>
      <c r="B49" s="0" t="n">
        <f aca="false">IF(ISNUMBER(--LEFT(TRIM(CLASSIFICAÇÃO!A49),1)),VALUE(LEFT(TRIM(CLASSIFICAÇÃO!A49),FIND("ª",TRIM(CLASSIFICAÇÃO!A49))-1)),1)</f>
        <v>1</v>
      </c>
      <c r="C49" s="0" t="str">
        <f aca="false">UPPER(TRIM(IF(LEFT(TRIM(MID(CLASSIFICAÇÃO!A49,FIND("VARA DO TRABALHO",CLASSIFICAÇÃO!A49)+LEN("VARA DO TRABALHO"),999)),3)="DE ",MID(TRIM(MID(CLASSIFICAÇÃO!A49,FIND("VARA DO TRABALHO",CLASSIFICAÇÃO!A49)+LEN("VARA DO TRABALHO"),999)),4,999),TRIM(MID(CLASSIFICAÇÃO!A49,FIND("VARA DO TRABALHO",CLASSIFICAÇÃO!A49)+LEN("VARA DO TRABALHO"),999)))))</f>
        <v>FRAIBURGO</v>
      </c>
      <c r="D49" s="0" t="str">
        <f aca="false">B49&amp;"|"&amp;C49</f>
        <v>1|FRAIBURGO</v>
      </c>
      <c r="F49" s="0" t="s">
        <v>122</v>
      </c>
      <c r="G49" s="0" t="n">
        <v>2</v>
      </c>
      <c r="H49" s="0" t="str">
        <f aca="false">UPPER(TRIM(LEFT(F49,FIND("-",F49)-1)))</f>
        <v>PALHOÇA</v>
      </c>
      <c r="I49" s="0" t="n">
        <f aca="false">VALUE(TRIM(MID(F49,FIND("-",F49)+1,FIND("a Vara",F49)-FIND("-",F49)-1)))</f>
        <v>1</v>
      </c>
      <c r="J49" s="0" t="str">
        <f aca="false">I49&amp;"|"&amp;H49</f>
        <v>1|PALHOÇA</v>
      </c>
    </row>
    <row r="50" customFormat="false" ht="15" hidden="false" customHeight="false" outlineLevel="0" collapsed="false">
      <c r="A50" s="0" t="str">
        <f aca="false">CLASSIFICAÇÃO!A50</f>
        <v>VARA DO TRABALHO DE IMBITUBA</v>
      </c>
      <c r="B50" s="0" t="n">
        <f aca="false">IF(ISNUMBER(--LEFT(TRIM(CLASSIFICAÇÃO!A50),1)),VALUE(LEFT(TRIM(CLASSIFICAÇÃO!A50),FIND("ª",TRIM(CLASSIFICAÇÃO!A50))-1)),1)</f>
        <v>1</v>
      </c>
      <c r="C50" s="0" t="str">
        <f aca="false">UPPER(TRIM(IF(LEFT(TRIM(MID(CLASSIFICAÇÃO!A50,FIND("VARA DO TRABALHO",CLASSIFICAÇÃO!A50)+LEN("VARA DO TRABALHO"),999)),3)="DE ",MID(TRIM(MID(CLASSIFICAÇÃO!A50,FIND("VARA DO TRABALHO",CLASSIFICAÇÃO!A50)+LEN("VARA DO TRABALHO"),999)),4,999),TRIM(MID(CLASSIFICAÇÃO!A50,FIND("VARA DO TRABALHO",CLASSIFICAÇÃO!A50)+LEN("VARA DO TRABALHO"),999)))))</f>
        <v>IMBITUBA</v>
      </c>
      <c r="D50" s="0" t="str">
        <f aca="false">B50&amp;"|"&amp;C50</f>
        <v>1|IMBITUBA</v>
      </c>
      <c r="F50" s="0" t="s">
        <v>123</v>
      </c>
      <c r="G50" s="0" t="n">
        <v>2</v>
      </c>
      <c r="H50" s="0" t="str">
        <f aca="false">UPPER(TRIM(LEFT(F50,FIND("-",F50)-1)))</f>
        <v>RIO DO SUL</v>
      </c>
      <c r="I50" s="0" t="n">
        <f aca="false">VALUE(TRIM(MID(F50,FIND("-",F50)+1,FIND("a Vara",F50)-FIND("-",F50)-1)))</f>
        <v>1</v>
      </c>
      <c r="J50" s="0" t="str">
        <f aca="false">I50&amp;"|"&amp;H50</f>
        <v>1|RIO DO SUL</v>
      </c>
    </row>
    <row r="51" customFormat="false" ht="15" hidden="false" customHeight="false" outlineLevel="0" collapsed="false">
      <c r="A51" s="0" t="str">
        <f aca="false">CLASSIFICAÇÃO!A51</f>
        <v>VARA DO TRABALHO DE INDAIAL</v>
      </c>
      <c r="B51" s="0" t="n">
        <f aca="false">IF(ISNUMBER(--LEFT(TRIM(CLASSIFICAÇÃO!A51),1)),VALUE(LEFT(TRIM(CLASSIFICAÇÃO!A51),FIND("ª",TRIM(CLASSIFICAÇÃO!A51))-1)),1)</f>
        <v>1</v>
      </c>
      <c r="C51" s="0" t="str">
        <f aca="false">UPPER(TRIM(IF(LEFT(TRIM(MID(CLASSIFICAÇÃO!A51,FIND("VARA DO TRABALHO",CLASSIFICAÇÃO!A51)+LEN("VARA DO TRABALHO"),999)),3)="DE ",MID(TRIM(MID(CLASSIFICAÇÃO!A51,FIND("VARA DO TRABALHO",CLASSIFICAÇÃO!A51)+LEN("VARA DO TRABALHO"),999)),4,999),TRIM(MID(CLASSIFICAÇÃO!A51,FIND("VARA DO TRABALHO",CLASSIFICAÇÃO!A51)+LEN("VARA DO TRABALHO"),999)))))</f>
        <v>INDAIAL</v>
      </c>
      <c r="D51" s="0" t="str">
        <f aca="false">B51&amp;"|"&amp;C51</f>
        <v>1|INDAIAL</v>
      </c>
      <c r="F51" s="0" t="s">
        <v>124</v>
      </c>
      <c r="G51" s="0" t="n">
        <v>2</v>
      </c>
      <c r="H51" s="0" t="str">
        <f aca="false">UPPER(TRIM(LEFT(F51,FIND("-",F51)-1)))</f>
        <v>RIO DO SUL</v>
      </c>
      <c r="I51" s="0" t="n">
        <f aca="false">VALUE(TRIM(MID(F51,FIND("-",F51)+1,FIND("a Vara",F51)-FIND("-",F51)-1)))</f>
        <v>2</v>
      </c>
      <c r="J51" s="0" t="str">
        <f aca="false">I51&amp;"|"&amp;H51</f>
        <v>2|RIO DO SUL</v>
      </c>
    </row>
    <row r="52" customFormat="false" ht="15" hidden="false" customHeight="false" outlineLevel="0" collapsed="false">
      <c r="A52" s="0" t="str">
        <f aca="false">CLASSIFICAÇÃO!A52</f>
        <v>VARA DO TRABALHO DE ITAPEMA</v>
      </c>
      <c r="B52" s="0" t="n">
        <f aca="false">IF(ISNUMBER(--LEFT(TRIM(CLASSIFICAÇÃO!A52),1)),VALUE(LEFT(TRIM(CLASSIFICAÇÃO!A52),FIND("ª",TRIM(CLASSIFICAÇÃO!A52))-1)),1)</f>
        <v>1</v>
      </c>
      <c r="C52" s="0" t="str">
        <f aca="false">UPPER(TRIM(IF(LEFT(TRIM(MID(CLASSIFICAÇÃO!A52,FIND("VARA DO TRABALHO",CLASSIFICAÇÃO!A52)+LEN("VARA DO TRABALHO"),999)),3)="DE ",MID(TRIM(MID(CLASSIFICAÇÃO!A52,FIND("VARA DO TRABALHO",CLASSIFICAÇÃO!A52)+LEN("VARA DO TRABALHO"),999)),4,999),TRIM(MID(CLASSIFICAÇÃO!A52,FIND("VARA DO TRABALHO",CLASSIFICAÇÃO!A52)+LEN("VARA DO TRABALHO"),999)))))</f>
        <v>ITAPEMA</v>
      </c>
      <c r="D52" s="0" t="str">
        <f aca="false">B52&amp;"|"&amp;C52</f>
        <v>1|ITAPEMA</v>
      </c>
      <c r="F52" s="0" t="s">
        <v>125</v>
      </c>
      <c r="G52" s="0" t="n">
        <v>2</v>
      </c>
      <c r="H52" s="0" t="str">
        <f aca="false">UPPER(TRIM(LEFT(F52,FIND("-",F52)-1)))</f>
        <v>SÃO BENTO DO SUL</v>
      </c>
      <c r="I52" s="0" t="n">
        <f aca="false">VALUE(TRIM(MID(F52,FIND("-",F52)+1,FIND("a Vara",F52)-FIND("-",F52)-1)))</f>
        <v>1</v>
      </c>
      <c r="J52" s="0" t="str">
        <f aca="false">I52&amp;"|"&amp;H52</f>
        <v>1|SÃO BENTO DO SUL</v>
      </c>
    </row>
    <row r="53" customFormat="false" ht="15" hidden="false" customHeight="false" outlineLevel="0" collapsed="false">
      <c r="A53" s="0" t="str">
        <f aca="false">CLASSIFICAÇÃO!A53</f>
        <v>VARA DO TRABALHO DE JOAÇABA</v>
      </c>
      <c r="B53" s="0" t="n">
        <f aca="false">IF(ISNUMBER(--LEFT(TRIM(CLASSIFICAÇÃO!A53),1)),VALUE(LEFT(TRIM(CLASSIFICAÇÃO!A53),FIND("ª",TRIM(CLASSIFICAÇÃO!A53))-1)),1)</f>
        <v>1</v>
      </c>
      <c r="C53" s="0" t="str">
        <f aca="false">UPPER(TRIM(IF(LEFT(TRIM(MID(CLASSIFICAÇÃO!A53,FIND("VARA DO TRABALHO",CLASSIFICAÇÃO!A53)+LEN("VARA DO TRABALHO"),999)),3)="DE ",MID(TRIM(MID(CLASSIFICAÇÃO!A53,FIND("VARA DO TRABALHO",CLASSIFICAÇÃO!A53)+LEN("VARA DO TRABALHO"),999)),4,999),TRIM(MID(CLASSIFICAÇÃO!A53,FIND("VARA DO TRABALHO",CLASSIFICAÇÃO!A53)+LEN("VARA DO TRABALHO"),999)))))</f>
        <v>JOAÇABA</v>
      </c>
      <c r="D53" s="0" t="str">
        <f aca="false">B53&amp;"|"&amp;C53</f>
        <v>1|JOAÇABA</v>
      </c>
      <c r="F53" s="0" t="s">
        <v>126</v>
      </c>
      <c r="G53" s="0" t="n">
        <v>2</v>
      </c>
      <c r="H53" s="0" t="str">
        <f aca="false">UPPER(TRIM(LEFT(F53,FIND("-",F53)-1)))</f>
        <v>SÃO JOSÉ</v>
      </c>
      <c r="I53" s="0" t="n">
        <f aca="false">VALUE(TRIM(MID(F53,FIND("-",F53)+1,FIND("a Vara",F53)-FIND("-",F53)-1)))</f>
        <v>1</v>
      </c>
      <c r="J53" s="0" t="str">
        <f aca="false">I53&amp;"|"&amp;H53</f>
        <v>1|SÃO JOSÉ</v>
      </c>
    </row>
    <row r="54" customFormat="false" ht="15" hidden="false" customHeight="false" outlineLevel="0" collapsed="false">
      <c r="A54" s="0" t="str">
        <f aca="false">CLASSIFICAÇÃO!A54</f>
        <v>VARA DO TRABALHO DE MAFRA</v>
      </c>
      <c r="B54" s="0" t="n">
        <f aca="false">IF(ISNUMBER(--LEFT(TRIM(CLASSIFICAÇÃO!A54),1)),VALUE(LEFT(TRIM(CLASSIFICAÇÃO!A54),FIND("ª",TRIM(CLASSIFICAÇÃO!A54))-1)),1)</f>
        <v>1</v>
      </c>
      <c r="C54" s="0" t="str">
        <f aca="false">UPPER(TRIM(IF(LEFT(TRIM(MID(CLASSIFICAÇÃO!A54,FIND("VARA DO TRABALHO",CLASSIFICAÇÃO!A54)+LEN("VARA DO TRABALHO"),999)),3)="DE ",MID(TRIM(MID(CLASSIFICAÇÃO!A54,FIND("VARA DO TRABALHO",CLASSIFICAÇÃO!A54)+LEN("VARA DO TRABALHO"),999)),4,999),TRIM(MID(CLASSIFICAÇÃO!A54,FIND("VARA DO TRABALHO",CLASSIFICAÇÃO!A54)+LEN("VARA DO TRABALHO"),999)))))</f>
        <v>MAFRA</v>
      </c>
      <c r="D54" s="0" t="str">
        <f aca="false">B54&amp;"|"&amp;C54</f>
        <v>1|MAFRA</v>
      </c>
      <c r="F54" s="0" t="s">
        <v>127</v>
      </c>
      <c r="G54" s="0" t="n">
        <v>2</v>
      </c>
      <c r="H54" s="0" t="str">
        <f aca="false">UPPER(TRIM(LEFT(F54,FIND("-",F54)-1)))</f>
        <v>SÃO JOSÉ</v>
      </c>
      <c r="I54" s="0" t="n">
        <f aca="false">VALUE(TRIM(MID(F54,FIND("-",F54)+1,FIND("a Vara",F54)-FIND("-",F54)-1)))</f>
        <v>2</v>
      </c>
      <c r="J54" s="0" t="str">
        <f aca="false">I54&amp;"|"&amp;H54</f>
        <v>2|SÃO JOSÉ</v>
      </c>
    </row>
    <row r="55" customFormat="false" ht="15" hidden="false" customHeight="false" outlineLevel="0" collapsed="false">
      <c r="A55" s="0" t="str">
        <f aca="false">CLASSIFICAÇÃO!A55</f>
        <v>VARA DO TRABALHO DE NAVEGANTES</v>
      </c>
      <c r="B55" s="0" t="n">
        <f aca="false">IF(ISNUMBER(--LEFT(TRIM(CLASSIFICAÇÃO!A55),1)),VALUE(LEFT(TRIM(CLASSIFICAÇÃO!A55),FIND("ª",TRIM(CLASSIFICAÇÃO!A55))-1)),1)</f>
        <v>1</v>
      </c>
      <c r="C55" s="0" t="str">
        <f aca="false">UPPER(TRIM(IF(LEFT(TRIM(MID(CLASSIFICAÇÃO!A55,FIND("VARA DO TRABALHO",CLASSIFICAÇÃO!A55)+LEN("VARA DO TRABALHO"),999)),3)="DE ",MID(TRIM(MID(CLASSIFICAÇÃO!A55,FIND("VARA DO TRABALHO",CLASSIFICAÇÃO!A55)+LEN("VARA DO TRABALHO"),999)),4,999),TRIM(MID(CLASSIFICAÇÃO!A55,FIND("VARA DO TRABALHO",CLASSIFICAÇÃO!A55)+LEN("VARA DO TRABALHO"),999)))))</f>
        <v>NAVEGANTES</v>
      </c>
      <c r="D55" s="0" t="str">
        <f aca="false">B55&amp;"|"&amp;C55</f>
        <v>1|NAVEGANTES</v>
      </c>
      <c r="F55" s="0" t="s">
        <v>128</v>
      </c>
      <c r="G55" s="0" t="n">
        <v>2</v>
      </c>
      <c r="H55" s="0" t="str">
        <f aca="false">UPPER(TRIM(LEFT(F55,FIND("-",F55)-1)))</f>
        <v>SÃO JOSÉ</v>
      </c>
      <c r="I55" s="0" t="n">
        <f aca="false">VALUE(TRIM(MID(F55,FIND("-",F55)+1,FIND("a Vara",F55)-FIND("-",F55)-1)))</f>
        <v>3</v>
      </c>
      <c r="J55" s="0" t="str">
        <f aca="false">I55&amp;"|"&amp;H55</f>
        <v>3|SÃO JOSÉ</v>
      </c>
    </row>
    <row r="56" customFormat="false" ht="15" hidden="false" customHeight="false" outlineLevel="0" collapsed="false">
      <c r="A56" s="0" t="str">
        <f aca="false">CLASSIFICAÇÃO!A56</f>
        <v>VARA DO TRABALHO DE PALHOÇA</v>
      </c>
      <c r="B56" s="0" t="n">
        <f aca="false">IF(ISNUMBER(--LEFT(TRIM(CLASSIFICAÇÃO!A56),1)),VALUE(LEFT(TRIM(CLASSIFICAÇÃO!A56),FIND("ª",TRIM(CLASSIFICAÇÃO!A56))-1)),1)</f>
        <v>1</v>
      </c>
      <c r="C56" s="0" t="str">
        <f aca="false">UPPER(TRIM(IF(LEFT(TRIM(MID(CLASSIFICAÇÃO!A56,FIND("VARA DO TRABALHO",CLASSIFICAÇÃO!A56)+LEN("VARA DO TRABALHO"),999)),3)="DE ",MID(TRIM(MID(CLASSIFICAÇÃO!A56,FIND("VARA DO TRABALHO",CLASSIFICAÇÃO!A56)+LEN("VARA DO TRABALHO"),999)),4,999),TRIM(MID(CLASSIFICAÇÃO!A56,FIND("VARA DO TRABALHO",CLASSIFICAÇÃO!A56)+LEN("VARA DO TRABALHO"),999)))))</f>
        <v>PALHOÇA</v>
      </c>
      <c r="D56" s="0" t="str">
        <f aca="false">B56&amp;"|"&amp;C56</f>
        <v>1|PALHOÇA</v>
      </c>
      <c r="F56" s="0" t="s">
        <v>129</v>
      </c>
      <c r="G56" s="0" t="n">
        <v>1</v>
      </c>
      <c r="H56" s="0" t="str">
        <f aca="false">UPPER(TRIM(LEFT(F56,FIND("-",F56)-1)))</f>
        <v>SÃO MIGUEL DO OESTE</v>
      </c>
      <c r="I56" s="0" t="n">
        <f aca="false">VALUE(TRIM(MID(F56,FIND("-",F56)+1,FIND("a Vara",F56)-FIND("-",F56)-1)))</f>
        <v>1</v>
      </c>
      <c r="J56" s="0" t="str">
        <f aca="false">I56&amp;"|"&amp;H56</f>
        <v>1|SÃO MIGUEL DO OESTE</v>
      </c>
    </row>
    <row r="57" customFormat="false" ht="15" hidden="false" customHeight="false" outlineLevel="0" collapsed="false">
      <c r="A57" s="0" t="str">
        <f aca="false">CLASSIFICAÇÃO!A57</f>
        <v>VARA DO TRABALHO DE SÃO BENTO DO SUL</v>
      </c>
      <c r="B57" s="0" t="n">
        <f aca="false">IF(ISNUMBER(--LEFT(TRIM(CLASSIFICAÇÃO!A57),1)),VALUE(LEFT(TRIM(CLASSIFICAÇÃO!A57),FIND("ª",TRIM(CLASSIFICAÇÃO!A57))-1)),1)</f>
        <v>1</v>
      </c>
      <c r="C57" s="0" t="str">
        <f aca="false">UPPER(TRIM(IF(LEFT(TRIM(MID(CLASSIFICAÇÃO!A57,FIND("VARA DO TRABALHO",CLASSIFICAÇÃO!A57)+LEN("VARA DO TRABALHO"),999)),3)="DE ",MID(TRIM(MID(CLASSIFICAÇÃO!A57,FIND("VARA DO TRABALHO",CLASSIFICAÇÃO!A57)+LEN("VARA DO TRABALHO"),999)),4,999),TRIM(MID(CLASSIFICAÇÃO!A57,FIND("VARA DO TRABALHO",CLASSIFICAÇÃO!A57)+LEN("VARA DO TRABALHO"),999)))))</f>
        <v>SÃO BENTO DO SUL</v>
      </c>
      <c r="D57" s="0" t="str">
        <f aca="false">B57&amp;"|"&amp;C57</f>
        <v>1|SÃO BENTO DO SUL</v>
      </c>
      <c r="F57" s="0" t="s">
        <v>130</v>
      </c>
      <c r="G57" s="0" t="n">
        <v>1</v>
      </c>
      <c r="H57" s="0" t="str">
        <f aca="false">UPPER(TRIM(LEFT(F57,FIND("-",F57)-1)))</f>
        <v>TIMBÓ</v>
      </c>
      <c r="I57" s="0" t="n">
        <f aca="false">VALUE(TRIM(MID(F57,FIND("-",F57)+1,FIND("a Vara",F57)-FIND("-",F57)-1)))</f>
        <v>1</v>
      </c>
      <c r="J57" s="0" t="str">
        <f aca="false">I57&amp;"|"&amp;H57</f>
        <v>1|TIMBÓ</v>
      </c>
    </row>
    <row r="58" customFormat="false" ht="15" hidden="false" customHeight="false" outlineLevel="0" collapsed="false">
      <c r="A58" s="0" t="str">
        <f aca="false">CLASSIFICAÇÃO!A58</f>
        <v>VARA DO TRABALHO DE SÃO MIGUEL DO OESTE</v>
      </c>
      <c r="B58" s="0" t="n">
        <f aca="false">IF(ISNUMBER(--LEFT(TRIM(CLASSIFICAÇÃO!A58),1)),VALUE(LEFT(TRIM(CLASSIFICAÇÃO!A58),FIND("ª",TRIM(CLASSIFICAÇÃO!A58))-1)),1)</f>
        <v>1</v>
      </c>
      <c r="C58" s="0" t="str">
        <f aca="false">UPPER(TRIM(IF(LEFT(TRIM(MID(CLASSIFICAÇÃO!A58,FIND("VARA DO TRABALHO",CLASSIFICAÇÃO!A58)+LEN("VARA DO TRABALHO"),999)),3)="DE ",MID(TRIM(MID(CLASSIFICAÇÃO!A58,FIND("VARA DO TRABALHO",CLASSIFICAÇÃO!A58)+LEN("VARA DO TRABALHO"),999)),4,999),TRIM(MID(CLASSIFICAÇÃO!A58,FIND("VARA DO TRABALHO",CLASSIFICAÇÃO!A58)+LEN("VARA DO TRABALHO"),999)))))</f>
        <v>SÃO MIGUEL DO OESTE</v>
      </c>
      <c r="D58" s="0" t="str">
        <f aca="false">B58&amp;"|"&amp;C58</f>
        <v>1|SÃO MIGUEL DO OESTE</v>
      </c>
      <c r="F58" s="0" t="s">
        <v>131</v>
      </c>
      <c r="G58" s="0" t="n">
        <v>2</v>
      </c>
      <c r="H58" s="0" t="str">
        <f aca="false">UPPER(TRIM(LEFT(F58,FIND("-",F58)-1)))</f>
        <v>TUBARÃO</v>
      </c>
      <c r="I58" s="0" t="n">
        <f aca="false">VALUE(TRIM(MID(F58,FIND("-",F58)+1,FIND("a Vara",F58)-FIND("-",F58)-1)))</f>
        <v>1</v>
      </c>
      <c r="J58" s="0" t="str">
        <f aca="false">I58&amp;"|"&amp;H58</f>
        <v>1|TUBARÃO</v>
      </c>
    </row>
    <row r="59" customFormat="false" ht="15" hidden="false" customHeight="false" outlineLevel="0" collapsed="false">
      <c r="A59" s="0" t="str">
        <f aca="false">CLASSIFICAÇÃO!A59</f>
        <v>VARA DO TRABALHO DE TIMBÓ</v>
      </c>
      <c r="B59" s="0" t="n">
        <f aca="false">IF(ISNUMBER(--LEFT(TRIM(CLASSIFICAÇÃO!A59),1)),VALUE(LEFT(TRIM(CLASSIFICAÇÃO!A59),FIND("ª",TRIM(CLASSIFICAÇÃO!A59))-1)),1)</f>
        <v>1</v>
      </c>
      <c r="C59" s="0" t="str">
        <f aca="false">UPPER(TRIM(IF(LEFT(TRIM(MID(CLASSIFICAÇÃO!A59,FIND("VARA DO TRABALHO",CLASSIFICAÇÃO!A59)+LEN("VARA DO TRABALHO"),999)),3)="DE ",MID(TRIM(MID(CLASSIFICAÇÃO!A59,FIND("VARA DO TRABALHO",CLASSIFICAÇÃO!A59)+LEN("VARA DO TRABALHO"),999)),4,999),TRIM(MID(CLASSIFICAÇÃO!A59,FIND("VARA DO TRABALHO",CLASSIFICAÇÃO!A59)+LEN("VARA DO TRABALHO"),999)))))</f>
        <v>TIMBÓ</v>
      </c>
      <c r="D59" s="0" t="str">
        <f aca="false">B59&amp;"|"&amp;C59</f>
        <v>1|TIMBÓ</v>
      </c>
      <c r="F59" s="0" t="s">
        <v>132</v>
      </c>
      <c r="G59" s="0" t="n">
        <v>2</v>
      </c>
      <c r="H59" s="0" t="str">
        <f aca="false">UPPER(TRIM(LEFT(F59,FIND("-",F59)-1)))</f>
        <v>TUBARÃO</v>
      </c>
      <c r="I59" s="0" t="n">
        <f aca="false">VALUE(TRIM(MID(F59,FIND("-",F59)+1,FIND("a Vara",F59)-FIND("-",F59)-1)))</f>
        <v>2</v>
      </c>
      <c r="J59" s="0" t="str">
        <f aca="false">I59&amp;"|"&amp;H59</f>
        <v>2|TUBARÃO</v>
      </c>
    </row>
    <row r="60" customFormat="false" ht="15" hidden="false" customHeight="false" outlineLevel="0" collapsed="false">
      <c r="A60" s="0" t="str">
        <f aca="false">CLASSIFICAÇÃO!A60</f>
        <v>VARA DO TRABALHO DE VIDEIRA</v>
      </c>
      <c r="B60" s="0" t="n">
        <f aca="false">IF(ISNUMBER(--LEFT(TRIM(CLASSIFICAÇÃO!A60),1)),VALUE(LEFT(TRIM(CLASSIFICAÇÃO!A60),FIND("ª",TRIM(CLASSIFICAÇÃO!A60))-1)),1)</f>
        <v>1</v>
      </c>
      <c r="C60" s="0" t="str">
        <f aca="false">UPPER(TRIM(IF(LEFT(TRIM(MID(CLASSIFICAÇÃO!A60,FIND("VARA DO TRABALHO",CLASSIFICAÇÃO!A60)+LEN("VARA DO TRABALHO"),999)),3)="DE ",MID(TRIM(MID(CLASSIFICAÇÃO!A60,FIND("VARA DO TRABALHO",CLASSIFICAÇÃO!A60)+LEN("VARA DO TRABALHO"),999)),4,999),TRIM(MID(CLASSIFICAÇÃO!A60,FIND("VARA DO TRABALHO",CLASSIFICAÇÃO!A60)+LEN("VARA DO TRABALHO"),999)))))</f>
        <v>VIDEIRA</v>
      </c>
      <c r="D60" s="0" t="str">
        <f aca="false">B60&amp;"|"&amp;C60</f>
        <v>1|VIDEIRA</v>
      </c>
      <c r="F60" s="0" t="s">
        <v>133</v>
      </c>
      <c r="G60" s="0" t="n">
        <v>1</v>
      </c>
      <c r="H60" s="0" t="str">
        <f aca="false">UPPER(TRIM(LEFT(F60,FIND("-",F60)-1)))</f>
        <v>VIDEIRA</v>
      </c>
      <c r="I60" s="0" t="n">
        <f aca="false">VALUE(TRIM(MID(F60,FIND("-",F60)+1,FIND("a Vara",F60)-FIND("-",F60)-1)))</f>
        <v>1</v>
      </c>
      <c r="J60" s="0" t="str">
        <f aca="false">I60&amp;"|"&amp;H60</f>
        <v>1|VIDEIRA</v>
      </c>
    </row>
    <row r="61" customFormat="false" ht="15" hidden="false" customHeight="false" outlineLevel="0" collapsed="false">
      <c r="A61" s="0" t="str">
        <f aca="false">CLASSIFICAÇÃO!A61</f>
        <v>VARA DO TRABALHO DE XANXERÊ</v>
      </c>
      <c r="B61" s="0" t="n">
        <f aca="false">IF(ISNUMBER(--LEFT(TRIM(CLASSIFICAÇÃO!A61),1)),VALUE(LEFT(TRIM(CLASSIFICAÇÃO!A61),FIND("ª",TRIM(CLASSIFICAÇÃO!A61))-1)),1)</f>
        <v>1</v>
      </c>
      <c r="C61" s="0" t="str">
        <f aca="false">UPPER(TRIM(IF(LEFT(TRIM(MID(CLASSIFICAÇÃO!A61,FIND("VARA DO TRABALHO",CLASSIFICAÇÃO!A61)+LEN("VARA DO TRABALHO"),999)),3)="DE ",MID(TRIM(MID(CLASSIFICAÇÃO!A61,FIND("VARA DO TRABALHO",CLASSIFICAÇÃO!A61)+LEN("VARA DO TRABALHO"),999)),4,999),TRIM(MID(CLASSIFICAÇÃO!A61,FIND("VARA DO TRABALHO",CLASSIFICAÇÃO!A61)+LEN("VARA DO TRABALHO"),999)))))</f>
        <v>XANXERÊ</v>
      </c>
      <c r="D61" s="0" t="str">
        <f aca="false">B61&amp;"|"&amp;C61</f>
        <v>1|XANXERÊ</v>
      </c>
      <c r="F61" s="0" t="s">
        <v>134</v>
      </c>
      <c r="G61" s="0" t="n">
        <v>1</v>
      </c>
      <c r="H61" s="0" t="str">
        <f aca="false">UPPER(TRIM(LEFT(F61,FIND("-",F61)-1)))</f>
        <v>XANXERÊ</v>
      </c>
      <c r="I61" s="0" t="n">
        <f aca="false">VALUE(TRIM(MID(F61,FIND("-",F61)+1,FIND("a Vara",F61)-FIND("-",F61)-1)))</f>
        <v>1</v>
      </c>
      <c r="J61" s="0" t="str">
        <f aca="false">I61&amp;"|"&amp;H61</f>
        <v>1|XANXERÊ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2026-07-23T15:09:02Z</dcterms:created>
  <dc:creator>Gustavo Ibarra</dc:creator>
  <dc:description/>
  <dc:language>en-US</dc:language>
  <cp:lastModifiedBy>Gustavo Ibarra</cp:lastModifiedBy>
  <dcterms:modified xsi:type="dcterms:W3CDTF">2026-07-24T14:03:29Z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